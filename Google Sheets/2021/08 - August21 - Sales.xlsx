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sheetId="1" r:id="rId5"/>
    <sheet state="visible" name="Attribution" sheetId="2" r:id="rId6"/>
    <sheet state="visible" name="Detailed Report" sheetId="3" r:id="rId7"/>
    <sheet state="visible" name="Refunds" sheetId="4" r:id="rId8"/>
    <sheet state="visible" name="Formula" sheetId="5" r:id="rId9"/>
    <sheet state="visible" name="SupermetricsQueries" sheetId="6" r:id="rId10"/>
  </sheets>
  <definedNames>
    <definedName name="zsupermetrics_9i4W4hgd80uRpQLMeX0eRnESN8gjyv">Formula!$H$13:$H$14</definedName>
    <definedName name="zsupermetrics_ru0GDtbZzDLHQOQtJJ6K08MvUDyyp7">Formula!$G$4:$G$5</definedName>
    <definedName name="zsupermetrics_lx4cNai7gT6tH4j08ZRkI21Qlpjioi">Formula!$G$4:$H$5</definedName>
    <definedName name="zsupermetrics_refreshAll">SupermetricsQueries!$H$5</definedName>
    <definedName name="zsupermetrics_8xojRjNDjo2jWHGDWjFEhflhyIq3Hq">Sales!$K$7:$K$8</definedName>
    <definedName name="zsupermetrics_n3GtLgiKpTmd2pYmQNMuq6TPD0qE0b">Formula!$G$4:$G$5</definedName>
    <definedName name="zsupermetrics_OI1SHh9RTAzpmZ8JDWgszLojYv8Hv4">Formula!$F$4:$G$5</definedName>
    <definedName name="zsupermetrics_refreshAllSilent">SupermetricsQueries!$H$6</definedName>
    <definedName name="zsupermetrics_qWp7V908pNEYMtfv8QZvSTeDnBAHOU">Formula!$G$5:$H$6</definedName>
    <definedName name="zsupermetrics_forceRefresh">SupermetricsQueries!$H$4</definedName>
    <definedName name="zsupermetrics_HgZqhorObHOtZHuyJjpmyYaEPoYntx">Formula!$G$4:$G$5</definedName>
    <definedName name="zsupermetrics_YsFuuYtr8vOdNXCCPiFJIO38NP4b2T">Formula!$G$4:$H$5</definedName>
    <definedName name="zsupermetrics_DQl8lUbpTRu3fayaJJi7lVfOGKjNU4">Formula!$F$3:$F$4</definedName>
    <definedName name="zsupermetrics_4VkB7ij7WO0JjKBEgvjB2GHjSy2Egm">Formula!$G$4:$H$5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<sst xmlns="http://schemas.openxmlformats.org/spreadsheetml/2006/main" count="967" uniqueCount="437">
  <si>
    <t>Date</t>
  </si>
  <si>
    <t>MESEC</t>
  </si>
  <si>
    <t>Order ID</t>
  </si>
  <si>
    <t>Name</t>
  </si>
  <si>
    <t>Email</t>
  </si>
  <si>
    <t>Value</t>
  </si>
  <si>
    <t>Reason</t>
  </si>
  <si>
    <t>Platform</t>
  </si>
  <si>
    <t>#8892</t>
  </si>
  <si>
    <t>Kolbi Olson</t>
  </si>
  <si>
    <t>kolbileigh@gmail.com</t>
  </si>
  <si>
    <t>Doesn't want BB anymore</t>
  </si>
  <si>
    <t>Shopify</t>
  </si>
  <si>
    <t>Number</t>
  </si>
  <si>
    <t>SUN</t>
  </si>
  <si>
    <t>#7444</t>
  </si>
  <si>
    <t>Janice Forry</t>
  </si>
  <si>
    <t>jforry34@gmail.com</t>
  </si>
  <si>
    <t>MON</t>
  </si>
  <si>
    <t>TUE</t>
  </si>
  <si>
    <t>WED</t>
  </si>
  <si>
    <t>Partial refund - duplicate add-on</t>
  </si>
  <si>
    <t>THU</t>
  </si>
  <si>
    <t>Delivery Date</t>
  </si>
  <si>
    <t>FRI</t>
  </si>
  <si>
    <t>SAT</t>
  </si>
  <si>
    <t>Skupaj</t>
  </si>
  <si>
    <t>DAN</t>
  </si>
  <si>
    <t>NED</t>
  </si>
  <si>
    <t>PON</t>
  </si>
  <si>
    <t>TOR</t>
  </si>
  <si>
    <t>SRE</t>
  </si>
  <si>
    <t>ČET</t>
  </si>
  <si>
    <t>PET</t>
  </si>
  <si>
    <t>SOB</t>
  </si>
  <si>
    <t>FB Orders (Shopify + IGG)</t>
  </si>
  <si>
    <t>#14221</t>
  </si>
  <si>
    <t>Benno Lamboy</t>
  </si>
  <si>
    <t>si3ygryzzg@privaterelay.appleid.com</t>
  </si>
  <si>
    <t>KOMENTAR</t>
  </si>
  <si>
    <t>All Orders (Shopify + IGG)</t>
  </si>
  <si>
    <t>Cannot afford it anymore</t>
  </si>
  <si>
    <t>Kickstarter</t>
  </si>
  <si>
    <t>Cannot Afford it Anymore</t>
  </si>
  <si>
    <t>#9924</t>
  </si>
  <si>
    <t>Elizabeth McGauley</t>
  </si>
  <si>
    <t>beth@mcgauley.com</t>
  </si>
  <si>
    <t>Moving</t>
  </si>
  <si>
    <t>#9203</t>
  </si>
  <si>
    <t>Chris Jacona</t>
  </si>
  <si>
    <t>zoggsbar@aol.com</t>
  </si>
  <si>
    <t>Delivery date</t>
  </si>
  <si>
    <t>Transakcije</t>
  </si>
  <si>
    <t>Refund and order another Bundle</t>
  </si>
  <si>
    <t>#4376</t>
  </si>
  <si>
    <t>Harrison Bade</t>
  </si>
  <si>
    <t>artifactsinmotion@icloud.com</t>
  </si>
  <si>
    <t>Unknown</t>
  </si>
  <si>
    <t>Google (MuteSIX)</t>
  </si>
  <si>
    <t>#10344</t>
  </si>
  <si>
    <t>Maureen Sellers</t>
  </si>
  <si>
    <t>Maureensel@aol.com</t>
  </si>
  <si>
    <t>Other</t>
  </si>
  <si>
    <t>#10281</t>
  </si>
  <si>
    <t>Lydia Haren</t>
  </si>
  <si>
    <t>lydiaharen@bellsouth.net</t>
  </si>
  <si>
    <t>All</t>
  </si>
  <si>
    <t>FB (IGG Digital Team)</t>
  </si>
  <si>
    <t>#10624</t>
  </si>
  <si>
    <t>Laura Hird</t>
  </si>
  <si>
    <t>misty15@hotmail.co.uk</t>
  </si>
  <si>
    <t>#10247</t>
  </si>
  <si>
    <t>Stephanie Pelletier</t>
  </si>
  <si>
    <t>stephtier@icloud.com</t>
  </si>
  <si>
    <t>All Orders</t>
  </si>
  <si>
    <t>% Attributed to FB (Ads Manager)</t>
  </si>
  <si>
    <t>FB (Backerkit)</t>
  </si>
  <si>
    <t>#1116</t>
  </si>
  <si>
    <t>Jens Hubert</t>
  </si>
  <si>
    <t>tryllekunstner@yahoo.dk</t>
  </si>
  <si>
    <t>Duplicate order</t>
  </si>
  <si>
    <t>Indiegogo</t>
  </si>
  <si>
    <t>#10726</t>
  </si>
  <si>
    <t>Hendrik Narius</t>
  </si>
  <si>
    <t>FB (Internal Paid)</t>
  </si>
  <si>
    <t>h-narius@t-online.de</t>
  </si>
  <si>
    <t>Refund %</t>
  </si>
  <si>
    <t>#10712</t>
  </si>
  <si>
    <t>Rebecca Wilson</t>
  </si>
  <si>
    <t>rwilson423@gmail.com</t>
  </si>
  <si>
    <t>#2717</t>
  </si>
  <si>
    <t>Susan Wilson</t>
  </si>
  <si>
    <t>classicduo@msn.com</t>
  </si>
  <si>
    <t>FB (US &amp; CA)</t>
  </si>
  <si>
    <t>#2473</t>
  </si>
  <si>
    <t>Geoffrey Rugh</t>
  </si>
  <si>
    <t>geoffreyrugh@gmail.com</t>
  </si>
  <si>
    <t>#10851</t>
  </si>
  <si>
    <t>Simon Lamb</t>
  </si>
  <si>
    <t>simon@houseofnarcisse.com</t>
  </si>
  <si>
    <t>#8397</t>
  </si>
  <si>
    <t>Beulah Prosser</t>
  </si>
  <si>
    <t>tannybogus@hotmail.com</t>
  </si>
  <si>
    <t>#10170</t>
  </si>
  <si>
    <t>Chelsea Fluker</t>
  </si>
  <si>
    <t>megaboygamer@yahoo.com</t>
  </si>
  <si>
    <t>#31</t>
  </si>
  <si>
    <t>Wallner Matthias</t>
  </si>
  <si>
    <t>Attribution</t>
  </si>
  <si>
    <t>maiseb77@gmail.com</t>
  </si>
  <si>
    <t>Notes</t>
  </si>
  <si>
    <t>#8714</t>
  </si>
  <si>
    <t>Ginni Rosenfeld</t>
  </si>
  <si>
    <t>drgin64@gmail.com</t>
  </si>
  <si>
    <t>FB Orders (Shopify)</t>
  </si>
  <si>
    <t>#1677</t>
  </si>
  <si>
    <t>Virginia Haley</t>
  </si>
  <si>
    <t>FB (EU &amp; UK)</t>
  </si>
  <si>
    <t>haleyv@charter.net</t>
  </si>
  <si>
    <t>16/8/2021</t>
  </si>
  <si>
    <t>#10916</t>
  </si>
  <si>
    <t>Eileen Avera</t>
  </si>
  <si>
    <t>eileen.avera@gmail.com</t>
  </si>
  <si>
    <t>Gift recepient already pre-ordered</t>
  </si>
  <si>
    <t>#10957</t>
  </si>
  <si>
    <t>Jason Linder</t>
  </si>
  <si>
    <t>jlinder@gmail.com</t>
  </si>
  <si>
    <t>17/8/2021</t>
  </si>
  <si>
    <t>#10780</t>
  </si>
  <si>
    <t>GA (UTM: fb-paid) Orders (Shopify)</t>
  </si>
  <si>
    <t>Josef Breitenfellner</t>
  </si>
  <si>
    <t>breitenfellner.josef@gmail.com</t>
  </si>
  <si>
    <t>#10866</t>
  </si>
  <si>
    <t>Matthew Peacock</t>
  </si>
  <si>
    <t>mattapeacock@me.com</t>
  </si>
  <si>
    <t>Waiting for response</t>
  </si>
  <si>
    <t>17/8/2022</t>
  </si>
  <si>
    <t>#10974</t>
  </si>
  <si>
    <t>Travis Mock</t>
  </si>
  <si>
    <t>tomock@gmail.com</t>
  </si>
  <si>
    <t>17/8/2023</t>
  </si>
  <si>
    <t>% difference</t>
  </si>
  <si>
    <t>#9690</t>
  </si>
  <si>
    <t>Daniel Aprile</t>
  </si>
  <si>
    <t>danaprile@gmail.com</t>
  </si>
  <si>
    <t>17/8/2024</t>
  </si>
  <si>
    <t>#3555</t>
  </si>
  <si>
    <t>Nathan Reif</t>
  </si>
  <si>
    <t>snnation@gmail.com</t>
  </si>
  <si>
    <t>Bing Microsoft</t>
  </si>
  <si>
    <t>18/8/2021</t>
  </si>
  <si>
    <t>#9288</t>
  </si>
  <si>
    <t>Steven Hummel</t>
  </si>
  <si>
    <t>steven.hummel@aol.com</t>
  </si>
  <si>
    <t>#3603</t>
  </si>
  <si>
    <t>Lee Holden</t>
  </si>
  <si>
    <t>lee@kettlecup.co.uk</t>
  </si>
  <si>
    <t>19/8/2021</t>
  </si>
  <si>
    <t>#7864</t>
  </si>
  <si>
    <t>Rylan Morabito</t>
  </si>
  <si>
    <t>rylanexplores@gmail.com</t>
  </si>
  <si>
    <t>Pinterest</t>
  </si>
  <si>
    <t>23/8/2021</t>
  </si>
  <si>
    <t>#11150</t>
  </si>
  <si>
    <t>Frances Fortune</t>
  </si>
  <si>
    <t>ffffortune1@gmail.com</t>
  </si>
  <si>
    <t>#10698</t>
  </si>
  <si>
    <t>Donna Stevenson</t>
  </si>
  <si>
    <t>donnastevenson8@msn.com</t>
  </si>
  <si>
    <t>#6504</t>
  </si>
  <si>
    <t>Travis Bedwell</t>
  </si>
  <si>
    <t>tbedwell22@yahoo.com</t>
  </si>
  <si>
    <t>Moving to unsuitable location</t>
  </si>
  <si>
    <t>24/8/2021</t>
  </si>
  <si>
    <t>#11058</t>
  </si>
  <si>
    <t>Jane Duffy</t>
  </si>
  <si>
    <t>janeduff@gmail.com</t>
  </si>
  <si>
    <t>24/8/2022</t>
  </si>
  <si>
    <t>Social Orders (Shopify)</t>
  </si>
  <si>
    <t>#7228</t>
  </si>
  <si>
    <t>Robert Klotz</t>
  </si>
  <si>
    <t>robertklotz@gmx.at</t>
  </si>
  <si>
    <t>TikTok</t>
  </si>
  <si>
    <t>25/8/2021</t>
  </si>
  <si>
    <t>#6429</t>
  </si>
  <si>
    <t>James St. Denis</t>
  </si>
  <si>
    <t>stdejame@gmail.com</t>
  </si>
  <si>
    <t>#11277</t>
  </si>
  <si>
    <t>Lori Vandehey</t>
  </si>
  <si>
    <t>lvandehey@hotmail.com</t>
  </si>
  <si>
    <t>30/8/2021</t>
  </si>
  <si>
    <t>#4816</t>
  </si>
  <si>
    <t>Hayle Fox</t>
  </si>
  <si>
    <t>haylefoxx@yahoo.com</t>
  </si>
  <si>
    <t>#11365</t>
  </si>
  <si>
    <t>Caitlin LaForce</t>
  </si>
  <si>
    <t>csnuge@gmail.com</t>
  </si>
  <si>
    <t>#10195</t>
  </si>
  <si>
    <t>Suzanne Gregory</t>
  </si>
  <si>
    <t>suzannegregorysoprano@gmail.com</t>
  </si>
  <si>
    <t>31/8/2021</t>
  </si>
  <si>
    <t>#11439</t>
  </si>
  <si>
    <t>Kevin C. Wiman</t>
  </si>
  <si>
    <t>kevin.wiman@gmail.com</t>
  </si>
  <si>
    <t>PP Survey (FB) Orders</t>
  </si>
  <si>
    <t>PP Survey (FB) Orders Modeled #1</t>
  </si>
  <si>
    <t>Prihodek</t>
  </si>
  <si>
    <t>PP Survey (FB) Orders Modeled #2</t>
  </si>
  <si>
    <t>Conversion Rate</t>
  </si>
  <si>
    <t>Response Rate</t>
  </si>
  <si>
    <t>AOV</t>
  </si>
  <si>
    <t>CR</t>
  </si>
  <si>
    <t>Orders</t>
  </si>
  <si>
    <t>Weighted average</t>
  </si>
  <si>
    <t>IGG</t>
  </si>
  <si>
    <t>Microsoft</t>
  </si>
  <si>
    <t>Shopify (All)</t>
  </si>
  <si>
    <t>GA (Shopify)</t>
  </si>
  <si>
    <t>Odhodek</t>
  </si>
  <si>
    <t>Google Spend (MuteSIX)</t>
  </si>
  <si>
    <t>Provizija 15% Spend (MuteSIX) / $3,500</t>
  </si>
  <si>
    <t>PP Survey (All) Orders Views</t>
  </si>
  <si>
    <t>IGG News</t>
  </si>
  <si>
    <t>FB Spend (IGG Digital Team)</t>
  </si>
  <si>
    <t>Provizija 13% Purchase (IGG Digital Team)</t>
  </si>
  <si>
    <t>FB Spend (Backerkit)</t>
  </si>
  <si>
    <t>Total Revenue</t>
  </si>
  <si>
    <t>Provizija 15% Purchase (Backerkit)</t>
  </si>
  <si>
    <t>FB Spend (Internal Paid)</t>
  </si>
  <si>
    <t>FB Spend (US &amp; CA)</t>
  </si>
  <si>
    <t>Microsoft Spend</t>
  </si>
  <si>
    <t>FB - US &amp; CA</t>
  </si>
  <si>
    <t>Pinterest Spend</t>
  </si>
  <si>
    <t>FB - Internal Paid</t>
  </si>
  <si>
    <t>TikTok Spend</t>
  </si>
  <si>
    <t>FB Spend (EU &amp; UK)</t>
  </si>
  <si>
    <t>Platform Fee (6,90%)</t>
  </si>
  <si>
    <t>Google - WW</t>
  </si>
  <si>
    <t>Processing Fee (2,6%)</t>
  </si>
  <si>
    <t>Bing - WW</t>
  </si>
  <si>
    <t>Total Spend</t>
  </si>
  <si>
    <t>Transaction Fee ($0.3)</t>
  </si>
  <si>
    <t>ROAS</t>
  </si>
  <si>
    <t>CAC</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</si>
  <si>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</si>
  <si>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</si>
  <si>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</si>
  <si>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</si>
  <si>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</si>
  <si>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</si>
  <si>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</si>
  <si>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</si>
  <si>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</si>
  <si>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</si>
  <si>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</si>
  <si>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</si>
  <si>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Stroški</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</si>
  <si>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</si>
  <si>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</si>
  <si>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</si>
  <si>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</si>
  <si>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</si>
  <si>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</si>
  <si>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</si>
  <si>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</si>
  <si>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</si>
  <si>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</si>
  <si>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</si>
  <si>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</si>
  <si>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</si>
  <si>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</si>
  <si>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</si>
  <si>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</si>
  <si>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</si>
  <si>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Strošek BB ($86.58)</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</si>
  <si>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</si>
  <si>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</si>
  <si>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</si>
  <si>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</si>
  <si>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</si>
  <si>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</si>
  <si>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</si>
  <si>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</si>
  <si>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</si>
  <si>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</si>
  <si>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</si>
  <si>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</si>
  <si>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</si>
  <si>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</si>
  <si>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</si>
  <si>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Post-purchase Survey</t>
  </si>
  <si>
    <t>Facebook / Instagram</t>
  </si>
  <si>
    <t>Highlight with colour</t>
  </si>
  <si>
    <t>Refresh with user account</t>
  </si>
  <si>
    <t>Returned data</t>
  </si>
  <si>
    <t>Friends / Family</t>
  </si>
  <si>
    <t>Poštnina ($10)</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</si>
  <si>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</si>
  <si>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</si>
  <si>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</si>
  <si>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</si>
  <si>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</si>
  <si>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</si>
  <si>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</si>
  <si>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</si>
  <si>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</si>
  <si>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</si>
  <si>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</si>
  <si>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</si>
  <si>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</si>
  <si>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</si>
  <si>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</si>
  <si>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</si>
  <si>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</si>
  <si>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</si>
  <si>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</si>
  <si>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</si>
  <si>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</si>
  <si>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</si>
  <si>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</si>
  <si>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Google, Yahoo, Bing</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</si>
  <si>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</si>
  <si>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</si>
  <si>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</si>
  <si>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</si>
  <si>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</si>
  <si>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</si>
  <si>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</si>
  <si>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</si>
  <si>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</si>
  <si>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</si>
  <si>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</si>
  <si>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</si>
  <si>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</si>
  <si>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</si>
  <si>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</si>
  <si>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</si>
  <si>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</si>
  <si>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</si>
  <si>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9i4W4hgd80uRpQLMeX0eRnESN8gjyv</t>
  </si>
  <si>
    <t>Created successfully</t>
  </si>
  <si>
    <t>TABLE</t>
  </si>
  <si>
    <t>SHP</t>
  </si>
  <si>
    <t>today</t>
  </si>
  <si>
    <t>TV / Radio</t>
  </si>
  <si>
    <t>["gid://shopify/Shop/55807180983`Bird Buddy"]</t>
  </si>
  <si>
    <t>["total_sales"]</t>
  </si>
  <si>
    <t>[]</t>
  </si>
  <si>
    <t>[{"field":"order_utm_name","operator":"=@","value":"US","combineToPrev":";"}]</t>
  </si>
  <si>
    <t>{}</t>
  </si>
  <si>
    <t>Delni dobiček</t>
  </si>
  <si>
    <t>Formula'!H12:H13</t>
  </si>
  <si>
    <t>Blog / Article</t>
  </si>
  <si>
    <t>gid://shopify/Shop/55807180983</t>
  </si>
  <si>
    <t>DQl8lUbpTRu3fayaJJi7lVfOGKjNU4</t>
  </si>
  <si>
    <t>Revenue</t>
  </si>
  <si>
    <t>Spend</t>
  </si>
  <si>
    <t>yesterday</t>
  </si>
  <si>
    <t>Formula'!F2:F3</t>
  </si>
  <si>
    <t>n3GtLgiKpTmd2pYmQNMuq6TPD0qE0b</t>
  </si>
  <si>
    <t>Formula'!G3:G4</t>
  </si>
  <si>
    <t>qWp7V908pNEYMtfv8QZvSTeDnBAHOU</t>
  </si>
  <si>
    <t>Refreshed successfully</t>
  </si>
  <si>
    <t>["APPEND_RESULTS"]</t>
  </si>
  <si>
    <t>Formula'!G4:H5</t>
  </si>
  <si>
    <t>lx4cNai7gT6tH4j08ZRkI21Qlpjioi</t>
  </si>
  <si>
    <t>Performance MuteSIX (Google)</t>
  </si>
  <si>
    <t>Facebook</t>
  </si>
  <si>
    <t>Formula'!G3:H4</t>
  </si>
  <si>
    <t>4VkB7ij7WO0JjKBEgvjB2GHjSy2Egm</t>
  </si>
  <si>
    <t>HgZqhorObHOtZHuyJjpmyYaEPoYntx</t>
  </si>
  <si>
    <t>ru0GDtbZzDLHQOQtJJ6K08MvUDyyp7</t>
  </si>
  <si>
    <t>FB ROAS</t>
  </si>
  <si>
    <t>YsFuuYtr8vOdNXCCPiFJIO38NP4b2T</t>
  </si>
  <si>
    <t>OI1SHh9RTAzpmZ8JDWgszLojYv8Hv4</t>
  </si>
  <si>
    <t>FB CPO</t>
  </si>
  <si>
    <t>Formula'!F3:G4</t>
  </si>
  <si>
    <t>MER</t>
  </si>
  <si>
    <t>Performance IGG Digital Team</t>
  </si>
  <si>
    <t>Performance Backerkit</t>
  </si>
  <si>
    <t>Performance Internal Paid</t>
  </si>
  <si>
    <t>Performance US &amp; CA</t>
  </si>
  <si>
    <t>Performance TikTok</t>
  </si>
  <si>
    <t>Performance EU &amp; UK</t>
  </si>
  <si>
    <t>Performance Bing Microsoft</t>
  </si>
  <si>
    <t>Performance Pinterest</t>
  </si>
  <si>
    <t>Revenue IGG (GA)</t>
  </si>
  <si>
    <t>Revenue Shopify (Platform)</t>
  </si>
  <si>
    <t>Revenue - All</t>
  </si>
  <si>
    <t>Transactions</t>
  </si>
  <si>
    <t>Transactions IGG (GA)</t>
  </si>
  <si>
    <t>Transactions Shopify (Platform)</t>
  </si>
  <si>
    <t>Transactions - All</t>
  </si>
  <si>
    <t>Indiegogo Platform</t>
  </si>
  <si>
    <t>Revenue IGG</t>
  </si>
  <si>
    <t>Shipping IGG</t>
  </si>
  <si>
    <t>Skupaj IGG</t>
  </si>
  <si>
    <t>Razlika med reportingom</t>
  </si>
  <si>
    <t>Transactions IGG (Platform)</t>
  </si>
  <si>
    <t>Shopify Platform</t>
  </si>
  <si>
    <t>Revenue Shopify (gross)</t>
  </si>
  <si>
    <t>Shipping Shopify</t>
  </si>
  <si>
    <t>Skupaj Shopify</t>
  </si>
  <si>
    <t>Revenue &amp; Transactions (Platform) - ALL</t>
  </si>
  <si>
    <t>Units Sold</t>
  </si>
  <si>
    <t>1x BB (net)</t>
  </si>
  <si>
    <t>2x BB (net)</t>
  </si>
  <si>
    <t>3x BB (net)</t>
  </si>
  <si>
    <t>5x BB (net)</t>
  </si>
  <si>
    <t>10x BB (net)</t>
  </si>
  <si>
    <t>Solar Roof (net)</t>
  </si>
  <si>
    <t>Wall Mount (net)</t>
  </si>
  <si>
    <t>Fence Mount (net)</t>
  </si>
  <si>
    <t>Suet Ball Holder (net)</t>
  </si>
  <si>
    <t>Facebook &amp; Google Spend</t>
  </si>
  <si>
    <t>Facebook &amp; Google Fees</t>
  </si>
  <si>
    <t>Platform Fee (6%)</t>
  </si>
  <si>
    <t>Poštnina (IGG)</t>
  </si>
  <si>
    <t>Poštnina (Shopify)</t>
  </si>
  <si>
    <t>Solar Roof (8.93$)</t>
  </si>
  <si>
    <t>Fence Mount ($7)</t>
  </si>
  <si>
    <t>Wall Mount ($3.29)</t>
  </si>
  <si>
    <t>Suet Ball (0.45$)</t>
  </si>
  <si>
    <t>Shopify Refunds</t>
  </si>
  <si>
    <t>Sales Tax (5%)</t>
  </si>
  <si>
    <t>Daily MER</t>
  </si>
  <si>
    <t>Daily ROAS</t>
  </si>
  <si>
    <t>Formula Google</t>
  </si>
  <si>
    <t>Strošek naprave ($85)</t>
  </si>
  <si>
    <t>Formula IGG Digital Team</t>
  </si>
  <si>
    <t>Formula IGG Backerkit</t>
  </si>
  <si>
    <t>Formula Internal Paid</t>
  </si>
  <si>
    <t>Formula US &amp; CA</t>
  </si>
  <si>
    <t>Formula TikTok</t>
  </si>
  <si>
    <t>Formula EU &amp; UK</t>
  </si>
  <si>
    <t>Formula Microsoft</t>
  </si>
  <si>
    <t>Formula Pinterest</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</si>
</sst>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d"/>
    <numFmt numFmtId="165" formatCode="d\-mmm"/>
    <numFmt numFmtId="166" formatCode="m/d/yyyy"/>
    <numFmt numFmtId="167" formatCode="&quot;$&quot;#,##0"/>
    <numFmt numFmtId="168" formatCode="_-[$$-409]* #,##0.00_ ;_-[$$-409]* \-#,##0.00\ ;_-[$$-409]* &quot;-&quot;??_ ;_-@_ "/>
    <numFmt numFmtId="169" formatCode="&quot;$&quot;#,##0.00"/>
    <numFmt numFmtId="170" formatCode="yyyy-mm-dd"/>
    <numFmt numFmtId="171" formatCode="_-&quot;€&quot;* #,##0.00_-;\-&quot;€&quot;* #,##0.00_-;_-&quot;€&quot;* &quot;-&quot;??_-;_-@"/>
    <numFmt numFmtId="172" formatCode="yyyy-mm-dd h:mm:ss"/>
    <numFmt numFmtId="173" formatCode="mmm yyyy"/>
    <numFmt numFmtId="174" formatCode="_([$€-2]\ * #,##0.00_);_([$€-2]\ * \(#,##0.00\);_([$€-2]\ * &quot;-&quot;??_);_(@_)"/>
  </numFmts>
  <fonts count="32">
    <font>
      <sz val="10.0"/>
      <color rgb="FF000000"/>
      <name val="Arial"/>
      <scheme val="minor"/>
    </font>
    <font>
      <color theme="1"/>
      <name val="Arial"/>
    </font>
    <font>
      <sz val="12.0"/>
      <color rgb="FFFFFFFF"/>
      <name val="Calibri"/>
    </font>
    <font>
      <b/>
      <color theme="1"/>
      <name val="Nunito"/>
    </font>
    <font>
      <color theme="1"/>
      <name val="Nunito"/>
    </font>
    <font>
      <color rgb="FFFFFFFF"/>
      <name val="Nunito"/>
    </font>
    <font>
      <color theme="1"/>
      <name val="Arial"/>
      <scheme val="minor"/>
    </font>
    <font>
      <sz val="12.0"/>
      <color theme="1"/>
      <name val="Calibri"/>
    </font>
    <font>
      <sz val="12.0"/>
      <color theme="1"/>
      <name val="Arial"/>
    </font>
    <font>
      <b/>
      <i/>
      <sz val="12.0"/>
      <color theme="1"/>
      <name val="Calibri"/>
    </font>
    <font>
      <i/>
      <color theme="1"/>
      <name val="Nunito"/>
    </font>
    <font>
      <b/>
      <sz val="12.0"/>
      <color theme="1"/>
      <name val="Calibri"/>
    </font>
    <font>
      <color rgb="FFB7B7B7"/>
      <name val="Arial"/>
      <scheme val="minor"/>
    </font>
    <font>
      <i/>
      <sz val="12.0"/>
      <color theme="1"/>
      <name val="Calibri"/>
    </font>
    <font>
      <color rgb="FFFFFFFF"/>
      <name val="Arial"/>
      <scheme val="minor"/>
    </font>
    <font>
      <b/>
      <sz val="20.0"/>
      <color theme="1"/>
      <name val="Arial"/>
      <scheme val="minor"/>
    </font>
    <font>
      <color rgb="FFEEEEEE"/>
      <name val="Arial"/>
      <scheme val="minor"/>
    </font>
    <font>
      <b/>
      <color theme="1"/>
      <name val="Arial"/>
      <scheme val="minor"/>
    </font>
    <font>
      <color rgb="FF000000"/>
      <name val="Arial"/>
      <scheme val="minor"/>
    </font>
    <font>
      <sz val="12.0"/>
      <color rgb="FF9C0006"/>
      <name val="Calibri"/>
    </font>
    <font>
      <sz val="12.0"/>
      <color rgb="FF006100"/>
      <name val="Calibri"/>
    </font>
    <font>
      <color rgb="FF008000"/>
      <name val="Arial"/>
      <scheme val="minor"/>
    </font>
    <font>
      <i/>
      <sz val="12.0"/>
      <color rgb="FF006100"/>
      <name val="Calibri"/>
    </font>
    <font>
      <sz val="12.0"/>
      <color rgb="FF999999"/>
      <name val="Calibri"/>
    </font>
    <font>
      <i/>
      <sz val="12.0"/>
      <color rgb="FF9C0006"/>
      <name val="Calibri"/>
    </font>
    <font>
      <sz val="12.0"/>
      <color rgb="FFFFFFFF"/>
      <name val="Arial"/>
    </font>
    <font>
      <sz val="12.0"/>
      <color rgb="FFA5A5A5"/>
      <name val="Calibri"/>
    </font>
    <font>
      <sz val="11.0"/>
      <color theme="1"/>
      <name val="Arial"/>
    </font>
    <font>
      <sz val="11.0"/>
      <color theme="1"/>
      <name val="Calibri"/>
    </font>
    <font>
      <b/>
      <sz val="11.0"/>
      <color rgb="FF202223"/>
      <name val="-apple-system"/>
    </font>
    <font>
      <sz val="12.0"/>
      <color rgb="FFAEABAB"/>
      <name val="Calibri"/>
    </font>
    <font>
      <sz val="12.0"/>
      <color rgb="FFBFBFBF"/>
      <name val="Calibri"/>
    </font>
  </fonts>
  <fills count="112">
    <fill>
      <patternFill patternType="none"/>
    </fill>
    <fill>
      <patternFill patternType="lightGray"/>
    </fill>
    <fill>
      <patternFill patternType="solid">
        <fgColor rgb="FFD9D9D9"/>
        <bgColor rgb="FFD9D9D9"/>
      </patternFill>
    </fill>
    <fill>
      <patternFill patternType="solid">
        <fgColor rgb="FF1F3864"/>
        <bgColor rgb="FF1F3864"/>
      </patternFill>
    </fill>
    <fill>
      <patternFill patternType="solid">
        <fgColor rgb="FF4A86E8"/>
        <bgColor rgb="FF4A86E8"/>
      </patternFill>
    </fill>
    <fill>
      <patternFill patternType="solid">
        <fgColor rgb="FFA4C2F4"/>
        <bgColor rgb="FFA4C2F4"/>
      </patternFill>
    </fill>
    <fill>
      <patternFill patternType="solid">
        <fgColor rgb="FFEFEFEF"/>
        <bgColor rgb="FFEFEFEF"/>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F3F3F3"/>
        <bgColor rgb="FFF3F3F3"/>
      </patternFill>
    </fill>
    <fill>
      <patternFill patternType="solid">
        <fgColor rgb="FFA8D08D"/>
        <bgColor rgb="FFA8D08D"/>
      </patternFill>
    </fill>
    <fill>
      <patternFill patternType="solid">
        <fgColor rgb="FFB7B7B7"/>
        <bgColor rgb="FFB7B7B7"/>
      </patternFill>
    </fill>
    <fill>
      <patternFill patternType="solid">
        <fgColor rgb="FFD9EAD3"/>
        <bgColor rgb="FFD9EAD3"/>
      </patternFill>
    </fill>
    <fill>
      <patternFill patternType="solid">
        <fgColor rgb="FFCCCCCC"/>
        <bgColor rgb="FFCCCCCC"/>
      </patternFill>
    </fill>
    <fill>
      <patternFill patternType="solid">
        <fgColor rgb="FFFF7E79"/>
        <bgColor rgb="FFFF7E79"/>
      </patternFill>
    </fill>
    <fill>
      <patternFill patternType="solid">
        <fgColor rgb="FFB7E1CD"/>
        <bgColor rgb="FFB7E1CD"/>
      </patternFill>
    </fill>
    <fill>
      <patternFill patternType="solid">
        <fgColor rgb="FFFFF2CC"/>
        <bgColor rgb="FFFFF2CC"/>
      </patternFill>
    </fill>
    <fill>
      <patternFill patternType="solid">
        <fgColor rgb="FFB6D7A8"/>
        <bgColor rgb="FFB6D7A8"/>
      </patternFill>
    </fill>
    <fill>
      <patternFill patternType="solid">
        <fgColor rgb="FFF4CCCC"/>
        <bgColor rgb="FFF4CCCC"/>
      </patternFill>
    </fill>
    <fill>
      <patternFill patternType="solid">
        <fgColor rgb="FFC9DAF8"/>
        <bgColor rgb="FFC9DAF8"/>
      </patternFill>
    </fill>
    <fill>
      <patternFill patternType="solid">
        <fgColor rgb="FFFFC7CE"/>
        <bgColor rgb="FFFFC7CE"/>
      </patternFill>
    </fill>
    <fill>
      <patternFill patternType="solid">
        <fgColor rgb="FFC6EFCE"/>
        <bgColor rgb="FFC6EFCE"/>
      </patternFill>
    </fill>
    <fill>
      <patternFill patternType="solid">
        <fgColor rgb="FFBFBFBF"/>
        <bgColor rgb="FFBFBFBF"/>
      </patternFill>
    </fill>
    <fill>
      <patternFill patternType="solid">
        <fgColor rgb="FFF4B083"/>
        <bgColor rgb="FFF4B083"/>
      </patternFill>
    </fill>
    <fill>
      <patternFill patternType="solid">
        <fgColor rgb="FFFBE4D5"/>
        <bgColor rgb="FFFBE4D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C111AC"/>
        <bgColor rgb="FFC111AC"/>
      </patternFill>
    </fill>
    <fill>
      <patternFill patternType="solid">
        <fgColor rgb="FFF0BAE8"/>
        <bgColor rgb="FFF0BAE8"/>
      </patternFill>
    </fill>
    <fill>
      <patternFill patternType="solid">
        <fgColor rgb="FF999999"/>
        <bgColor rgb="FF999999"/>
      </patternFill>
    </fill>
    <fill>
      <patternFill patternType="solid">
        <fgColor rgb="FF3F3F3F"/>
        <bgColor rgb="FF3F3F3F"/>
      </patternFill>
    </fill>
    <fill>
      <patternFill patternType="solid">
        <fgColor rgb="FFAEABAB"/>
        <bgColor rgb="FFAEABAB"/>
      </patternFill>
    </fill>
    <fill>
      <patternFill patternType="solid">
        <fgColor rgb="FFFFD965"/>
        <bgColor rgb="FFFFD965"/>
      </patternFill>
    </fill>
    <fill>
      <patternFill patternType="solid">
        <fgColor rgb="FFFEF2CB"/>
        <bgColor rgb="FFFEF2CB"/>
      </patternFill>
    </fill>
    <fill>
      <patternFill patternType="solid">
        <fgColor rgb="FF9CC2E5"/>
        <bgColor rgb="FF9CC2E5"/>
      </patternFill>
    </fill>
    <fill>
      <patternFill patternType="solid">
        <fgColor rgb="FF548135"/>
        <bgColor rgb="FF548135"/>
      </patternFill>
    </fill>
    <fill>
      <patternFill patternType="solid">
        <fgColor rgb="FFBE2626"/>
        <bgColor rgb="FFBE2626"/>
      </patternFill>
    </fill>
    <fill>
      <patternFill patternType="solid">
        <fgColor rgb="FF7F6000"/>
        <bgColor rgb="FF7F6000"/>
      </patternFill>
    </fill>
    <fill>
      <patternFill patternType="solid">
        <fgColor rgb="FF833C0B"/>
        <bgColor rgb="FF833C0B"/>
      </patternFill>
    </fill>
    <fill>
      <patternFill patternType="solid">
        <fgColor rgb="FFE7E6E6"/>
        <bgColor rgb="FFE7E6E6"/>
      </patternFill>
    </fill>
    <fill>
      <patternFill patternType="solid">
        <fgColor rgb="FFFFE599"/>
        <bgColor rgb="FFFFE599"/>
      </patternFill>
    </fill>
    <fill>
      <patternFill patternType="solid">
        <fgColor rgb="FFEA9999"/>
        <bgColor rgb="FFEA9999"/>
      </patternFill>
    </fill>
    <fill>
      <patternFill patternType="solid">
        <fgColor rgb="FFFFE598"/>
        <bgColor rgb="FFFFE598"/>
      </patternFill>
    </fill>
    <fill>
      <patternFill patternType="solid">
        <fgColor rgb="FFF8696B"/>
        <bgColor rgb="FFF8696B"/>
      </patternFill>
    </fill>
    <fill>
      <patternFill patternType="solid">
        <fgColor rgb="FFF9888A"/>
        <bgColor rgb="FFF9888A"/>
      </patternFill>
    </fill>
    <fill>
      <patternFill patternType="solid">
        <fgColor rgb="FFF98789"/>
        <bgColor rgb="FFF98789"/>
      </patternFill>
    </fill>
    <fill>
      <patternFill patternType="solid">
        <fgColor rgb="FFF98C8F"/>
        <bgColor rgb="FFF98C8F"/>
      </patternFill>
    </fill>
    <fill>
      <patternFill patternType="solid">
        <fgColor rgb="FFF97678"/>
        <bgColor rgb="FFF97678"/>
      </patternFill>
    </fill>
    <fill>
      <patternFill patternType="solid">
        <fgColor rgb="FFF98C8E"/>
        <bgColor rgb="FFF98C8E"/>
      </patternFill>
    </fill>
    <fill>
      <patternFill patternType="solid">
        <fgColor rgb="FFFAB1B4"/>
        <bgColor rgb="FFFAB1B4"/>
      </patternFill>
    </fill>
    <fill>
      <patternFill patternType="solid">
        <fgColor rgb="FFFBBFC2"/>
        <bgColor rgb="FFFBBFC2"/>
      </patternFill>
    </fill>
    <fill>
      <patternFill patternType="solid">
        <fgColor rgb="FFFBB5B7"/>
        <bgColor rgb="FFFBB5B7"/>
      </patternFill>
    </fill>
    <fill>
      <patternFill patternType="solid">
        <fgColor rgb="FFFAA8AA"/>
        <bgColor rgb="FFFAA8AA"/>
      </patternFill>
    </fill>
    <fill>
      <patternFill patternType="solid">
        <fgColor rgb="FFFBBBBE"/>
        <bgColor rgb="FFFBBBBE"/>
      </patternFill>
    </fill>
    <fill>
      <patternFill patternType="solid">
        <fgColor rgb="FFFBC5C8"/>
        <bgColor rgb="FFFBC5C8"/>
      </patternFill>
    </fill>
    <fill>
      <patternFill patternType="solid">
        <fgColor rgb="FFFBC3C5"/>
        <bgColor rgb="FFFBC3C5"/>
      </patternFill>
    </fill>
    <fill>
      <patternFill patternType="solid">
        <fgColor rgb="FFFBC8CA"/>
        <bgColor rgb="FFFBC8CA"/>
      </patternFill>
    </fill>
    <fill>
      <patternFill patternType="solid">
        <fgColor rgb="FFFBCBCD"/>
        <bgColor rgb="FFFBCBCD"/>
      </patternFill>
    </fill>
    <fill>
      <patternFill patternType="solid">
        <fgColor rgb="FFFBCBCE"/>
        <bgColor rgb="FFFBCBCE"/>
      </patternFill>
    </fill>
    <fill>
      <patternFill patternType="solid">
        <fgColor rgb="FFFBCCCF"/>
        <bgColor rgb="FFFBCCCF"/>
      </patternFill>
    </fill>
    <fill>
      <patternFill patternType="solid">
        <fgColor rgb="FFFBC4C6"/>
        <bgColor rgb="FFFBC4C6"/>
      </patternFill>
    </fill>
    <fill>
      <patternFill patternType="solid">
        <fgColor rgb="FFFBC0C3"/>
        <bgColor rgb="FFFBC0C3"/>
      </patternFill>
    </fill>
    <fill>
      <patternFill patternType="solid">
        <fgColor rgb="FFFBC3C6"/>
        <bgColor rgb="FFFBC3C6"/>
      </patternFill>
    </fill>
    <fill>
      <patternFill patternType="solid">
        <fgColor rgb="FFFBC4C7"/>
        <bgColor rgb="FFFBC4C7"/>
      </patternFill>
    </fill>
    <fill>
      <patternFill patternType="solid">
        <fgColor rgb="FFFBB8BB"/>
        <bgColor rgb="FFFBB8BB"/>
      </patternFill>
    </fill>
    <fill>
      <patternFill patternType="solid">
        <fgColor rgb="FFFBB3B6"/>
        <bgColor rgb="FFFBB3B6"/>
      </patternFill>
    </fill>
    <fill>
      <patternFill patternType="solid">
        <fgColor rgb="FFFBC2C5"/>
        <bgColor rgb="FFFBC2C5"/>
      </patternFill>
    </fill>
    <fill>
      <patternFill patternType="solid">
        <fgColor rgb="FFFBC7CA"/>
        <bgColor rgb="FFFBC7CA"/>
      </patternFill>
    </fill>
    <fill>
      <patternFill patternType="solid">
        <fgColor rgb="FFFBCACD"/>
        <bgColor rgb="FFFBCACD"/>
      </patternFill>
    </fill>
    <fill>
      <patternFill patternType="solid">
        <fgColor rgb="FFFCE9EC"/>
        <bgColor rgb="FFFCE9EC"/>
      </patternFill>
    </fill>
    <fill>
      <patternFill patternType="solid">
        <fgColor rgb="FFFCFCFF"/>
        <bgColor rgb="FFFCFCFF"/>
      </patternFill>
    </fill>
    <fill>
      <patternFill patternType="solid">
        <fgColor rgb="FFDADADA"/>
        <bgColor rgb="FFDADADA"/>
      </patternFill>
    </fill>
    <fill>
      <patternFill patternType="solid">
        <fgColor rgb="FFD2EBDB"/>
        <bgColor rgb="FFD2EBDB"/>
      </patternFill>
    </fill>
    <fill>
      <patternFill patternType="solid">
        <fgColor rgb="FFE0F1E7"/>
        <bgColor rgb="FFE0F1E7"/>
      </patternFill>
    </fill>
    <fill>
      <patternFill patternType="solid">
        <fgColor rgb="FFDBEFE3"/>
        <bgColor rgb="FFDBEFE3"/>
      </patternFill>
    </fill>
    <fill>
      <patternFill patternType="solid">
        <fgColor rgb="FFD8EEE0"/>
        <bgColor rgb="FFD8EEE0"/>
      </patternFill>
    </fill>
    <fill>
      <patternFill patternType="solid">
        <fgColor rgb="FFFBFCFE"/>
        <bgColor rgb="FFFBFCFE"/>
      </patternFill>
    </fill>
    <fill>
      <patternFill patternType="solid">
        <fgColor rgb="FFC6E6D0"/>
        <bgColor rgb="FFC6E6D0"/>
      </patternFill>
    </fill>
    <fill>
      <patternFill patternType="solid">
        <fgColor rgb="FFBBE2C7"/>
        <bgColor rgb="FFBBE2C7"/>
      </patternFill>
    </fill>
    <fill>
      <patternFill patternType="solid">
        <fgColor rgb="FFD3ECDC"/>
        <bgColor rgb="FFD3ECDC"/>
      </patternFill>
    </fill>
    <fill>
      <patternFill patternType="solid">
        <fgColor rgb="FFE8F4EE"/>
        <bgColor rgb="FFE8F4EE"/>
      </patternFill>
    </fill>
    <fill>
      <patternFill patternType="solid">
        <fgColor rgb="FFD0EBD9"/>
        <bgColor rgb="FFD0EBD9"/>
      </patternFill>
    </fill>
    <fill>
      <patternFill patternType="solid">
        <fgColor rgb="FFCBE8D4"/>
        <bgColor rgb="FFCBE8D4"/>
      </patternFill>
    </fill>
    <fill>
      <patternFill patternType="solid">
        <fgColor rgb="FFD9EEE1"/>
        <bgColor rgb="FFD9EEE1"/>
      </patternFill>
    </fill>
    <fill>
      <patternFill patternType="solid">
        <fgColor rgb="FFAFDDBD"/>
        <bgColor rgb="FFAFDDBD"/>
      </patternFill>
    </fill>
    <fill>
      <patternFill patternType="solid">
        <fgColor rgb="FFBEE3CA"/>
        <bgColor rgb="FFBEE3CA"/>
      </patternFill>
    </fill>
    <fill>
      <patternFill patternType="solid">
        <fgColor rgb="FFD7EDDF"/>
        <bgColor rgb="FFD7EDDF"/>
      </patternFill>
    </fill>
    <fill>
      <patternFill patternType="solid">
        <fgColor rgb="FFCBE9D5"/>
        <bgColor rgb="FFCBE9D5"/>
      </patternFill>
    </fill>
    <fill>
      <patternFill patternType="solid">
        <fgColor rgb="FFC3E5CE"/>
        <bgColor rgb="FFC3E5CE"/>
      </patternFill>
    </fill>
    <fill>
      <patternFill patternType="solid">
        <fgColor rgb="FFBDE3C9"/>
        <bgColor rgb="FFBDE3C9"/>
      </patternFill>
    </fill>
    <fill>
      <patternFill patternType="solid">
        <fgColor rgb="FFB6E0C3"/>
        <bgColor rgb="FFB6E0C3"/>
      </patternFill>
    </fill>
    <fill>
      <patternFill patternType="solid">
        <fgColor rgb="FFDBEFE2"/>
        <bgColor rgb="FFDBEFE2"/>
      </patternFill>
    </fill>
    <fill>
      <patternFill patternType="solid">
        <fgColor rgb="FFE5F3EB"/>
        <bgColor rgb="FFE5F3EB"/>
      </patternFill>
    </fill>
    <fill>
      <patternFill patternType="solid">
        <fgColor rgb="FFE1F2E8"/>
        <bgColor rgb="FFE1F2E8"/>
      </patternFill>
    </fill>
    <fill>
      <patternFill patternType="solid">
        <fgColor rgb="FFC8E7D2"/>
        <bgColor rgb="FFC8E7D2"/>
      </patternFill>
    </fill>
    <fill>
      <patternFill patternType="solid">
        <fgColor rgb="FFBFE4CA"/>
        <bgColor rgb="FFBFE4CA"/>
      </patternFill>
    </fill>
    <fill>
      <patternFill patternType="solid">
        <fgColor rgb="FFC7E7D2"/>
        <bgColor rgb="FFC7E7D2"/>
      </patternFill>
    </fill>
    <fill>
      <patternFill patternType="solid">
        <fgColor rgb="FFA7DAB6"/>
        <bgColor rgb="FFA7DAB6"/>
      </patternFill>
    </fill>
    <fill>
      <patternFill patternType="solid">
        <fgColor rgb="FF63BE7B"/>
        <bgColor rgb="FF63BE7B"/>
      </patternFill>
    </fill>
    <fill>
      <patternFill patternType="solid">
        <fgColor rgb="FFFAFBFD"/>
        <bgColor rgb="FFFAFBFD"/>
      </patternFill>
    </fill>
    <fill>
      <patternFill patternType="solid">
        <fgColor rgb="FFFAFCFE"/>
        <bgColor rgb="FFFAFCFE"/>
      </patternFill>
    </fill>
    <fill>
      <patternFill patternType="solid">
        <fgColor rgb="FFFAFCFD"/>
        <bgColor rgb="FFFAFCFD"/>
      </patternFill>
    </fill>
    <fill>
      <patternFill patternType="solid">
        <fgColor rgb="FFF9FBFC"/>
        <bgColor rgb="FFF9FBFC"/>
      </patternFill>
    </fill>
    <fill>
      <patternFill patternType="solid">
        <fgColor rgb="FFF7FAFB"/>
        <bgColor rgb="FFF7FAFB"/>
      </patternFill>
    </fill>
    <fill>
      <patternFill patternType="solid">
        <fgColor rgb="FFF8FBFC"/>
        <bgColor rgb="FFF8FBFC"/>
      </patternFill>
    </fill>
    <fill>
      <patternFill patternType="solid">
        <fgColor rgb="FFF9FBFD"/>
        <bgColor rgb="FFF9FBFD"/>
      </patternFill>
    </fill>
    <fill>
      <patternFill patternType="solid">
        <fgColor rgb="FFF1F8F5"/>
        <bgColor rgb="FFF1F8F5"/>
      </patternFill>
    </fill>
    <fill>
      <patternFill patternType="solid">
        <fgColor rgb="FFF2F2F2"/>
        <bgColor rgb="FFF2F2F2"/>
      </patternFill>
    </fill>
  </fills>
  <borders count="5">
    <border/>
    <border>
      <right style="thin">
        <color rgb="FF000000"/>
      </right>
    </border>
    <border>
      <bottom style="thin">
        <color rgb="FF000000"/>
      </bottom>
    </border>
    <border>
      <right style="thin">
        <color rgb="FF000000"/>
      </right>
      <bottom style="thin">
        <color rgb="FF000000"/>
      </bottom>
    </border>
    <border>
      <left style="thin">
        <color rgb="FF000000"/>
      </left>
    </border>
  </borders>
  <cellStyleXfs count="1">
    <xf borderId="0" fillId="0" fontId="0" numFmtId="0" applyAlignment="1" applyFont="1"/>
  </cellStyleXfs>
  <cellXfs count="322">
    <xf borderId="0" fillId="0" fontId="0" numFmtId="0" xfId="0" applyAlignment="1" applyFont="1">
      <alignment readingOrder="0" shrinkToFit="0" vertical="bottom" wrapText="0"/>
    </xf>
    <xf borderId="0" fillId="2" fontId="1" numFmtId="164" xfId="0" applyAlignment="1" applyFill="1" applyFont="1" applyNumberFormat="1">
      <alignment horizontal="left" readingOrder="0" vertical="bottom"/>
    </xf>
    <xf borderId="0" fillId="3" fontId="2" numFmtId="0" xfId="0" applyAlignment="1" applyFill="1" applyFont="1">
      <alignment vertical="bottom"/>
    </xf>
    <xf borderId="0" fillId="2" fontId="3" numFmtId="0" xfId="0" applyAlignment="1" applyFont="1">
      <alignment vertical="bottom"/>
    </xf>
    <xf borderId="0" fillId="3" fontId="2" numFmtId="16" xfId="0" applyAlignment="1" applyFont="1" applyNumberFormat="1">
      <alignment horizontal="center" vertical="bottom"/>
    </xf>
    <xf borderId="0" fillId="3" fontId="2" numFmtId="165" xfId="0" applyAlignment="1" applyFont="1" applyNumberFormat="1">
      <alignment horizontal="center" vertical="bottom"/>
    </xf>
    <xf borderId="0" fillId="0" fontId="1" numFmtId="0" xfId="0" applyAlignment="1" applyFont="1">
      <alignment vertical="bottom"/>
    </xf>
    <xf borderId="0" fillId="0" fontId="4" numFmtId="166" xfId="0" applyAlignment="1" applyFont="1" applyNumberFormat="1">
      <alignment horizontal="right" vertical="bottom"/>
    </xf>
    <xf borderId="0" fillId="0" fontId="4" numFmtId="0" xfId="0" applyAlignment="1" applyFont="1">
      <alignment vertical="bottom"/>
    </xf>
    <xf borderId="0" fillId="0" fontId="4" numFmtId="167" xfId="0" applyAlignment="1" applyFont="1" applyNumberFormat="1">
      <alignment horizontal="right" vertical="bottom"/>
    </xf>
    <xf borderId="0" fillId="4" fontId="5" numFmtId="0" xfId="0" applyAlignment="1" applyFill="1" applyFont="1">
      <alignment vertical="bottom"/>
    </xf>
    <xf borderId="0" fillId="5" fontId="4" numFmtId="0" xfId="0" applyAlignment="1" applyFill="1" applyFont="1">
      <alignment vertical="bottom"/>
    </xf>
    <xf borderId="0" fillId="0" fontId="1" numFmtId="10" xfId="0" applyAlignment="1" applyFont="1" applyNumberFormat="1">
      <alignment vertical="bottom"/>
    </xf>
    <xf borderId="0" fillId="6" fontId="1" numFmtId="0" xfId="0" applyAlignment="1" applyFill="1" applyFont="1">
      <alignment horizontal="left" vertical="bottom"/>
    </xf>
    <xf borderId="0" fillId="0" fontId="4" numFmtId="0" xfId="0" applyAlignment="1" applyFont="1">
      <alignment horizontal="right" vertical="bottom"/>
    </xf>
    <xf borderId="1" fillId="3" fontId="2" numFmtId="16" xfId="0" applyAlignment="1" applyBorder="1" applyFont="1" applyNumberFormat="1">
      <alignment horizontal="center" vertical="bottom"/>
    </xf>
    <xf borderId="0" fillId="3" fontId="2" numFmtId="0" xfId="0" applyAlignment="1" applyFont="1">
      <alignment horizontal="center" vertical="bottom"/>
    </xf>
    <xf borderId="0" fillId="7" fontId="2" numFmtId="0" xfId="0" applyAlignment="1" applyFill="1" applyFont="1">
      <alignment vertical="bottom"/>
    </xf>
    <xf borderId="0" fillId="7" fontId="2" numFmtId="0" xfId="0" applyAlignment="1" applyFont="1">
      <alignment horizontal="center" vertical="bottom"/>
    </xf>
    <xf borderId="0" fillId="6" fontId="1" numFmtId="0" xfId="0" applyAlignment="1" applyFont="1">
      <alignment vertical="bottom"/>
    </xf>
    <xf borderId="0" fillId="0" fontId="1" numFmtId="0" xfId="0" applyAlignment="1" applyFont="1">
      <alignment readingOrder="0" vertical="bottom"/>
    </xf>
    <xf borderId="0" fillId="0" fontId="4" numFmtId="10" xfId="0" applyAlignment="1" applyFont="1" applyNumberFormat="1">
      <alignment horizontal="right" vertical="bottom"/>
    </xf>
    <xf borderId="0" fillId="0" fontId="6" numFmtId="0" xfId="0" applyAlignment="1" applyFont="1">
      <alignment readingOrder="0"/>
    </xf>
    <xf borderId="1" fillId="7" fontId="2" numFmtId="0" xfId="0" applyAlignment="1" applyBorder="1" applyFont="1">
      <alignment horizontal="center" vertical="bottom"/>
    </xf>
    <xf borderId="0" fillId="0" fontId="7" numFmtId="0" xfId="0" applyAlignment="1" applyFont="1">
      <alignment vertical="bottom"/>
    </xf>
    <xf borderId="0" fillId="8" fontId="2" numFmtId="0" xfId="0" applyAlignment="1" applyFill="1" applyFont="1">
      <alignment vertical="bottom"/>
    </xf>
    <xf borderId="0" fillId="0" fontId="6" numFmtId="0" xfId="0" applyFont="1"/>
    <xf borderId="1" fillId="0" fontId="7" numFmtId="0" xfId="0" applyAlignment="1" applyBorder="1" applyFont="1">
      <alignment vertical="bottom"/>
    </xf>
    <xf borderId="0" fillId="9" fontId="7" numFmtId="0" xfId="0" applyAlignment="1" applyFill="1" applyFont="1">
      <alignment vertical="bottom"/>
    </xf>
    <xf borderId="0" fillId="0" fontId="4" numFmtId="0" xfId="0" applyAlignment="1" applyFont="1">
      <alignment readingOrder="0" vertical="bottom"/>
    </xf>
    <xf borderId="0" fillId="10" fontId="7" numFmtId="0" xfId="0" applyAlignment="1" applyFill="1" applyFont="1">
      <alignment horizontal="right" vertical="bottom"/>
    </xf>
    <xf borderId="2" fillId="0" fontId="4" numFmtId="0" xfId="0" applyAlignment="1" applyBorder="1" applyFont="1">
      <alignment vertical="bottom"/>
    </xf>
    <xf borderId="0" fillId="10" fontId="8" numFmtId="0" xfId="0" applyAlignment="1" applyFont="1">
      <alignment horizontal="right" vertical="bottom"/>
    </xf>
    <xf borderId="2" fillId="0" fontId="4" numFmtId="0" xfId="0" applyAlignment="1" applyBorder="1" applyFont="1">
      <alignment horizontal="right" vertical="bottom"/>
    </xf>
    <xf borderId="2" fillId="0" fontId="4" numFmtId="10" xfId="0" applyAlignment="1" applyBorder="1" applyFont="1" applyNumberFormat="1">
      <alignment horizontal="right" vertical="bottom"/>
    </xf>
    <xf borderId="1" fillId="10" fontId="8" numFmtId="0" xfId="0" applyAlignment="1" applyBorder="1" applyFont="1">
      <alignment horizontal="right" vertical="bottom"/>
    </xf>
    <xf borderId="0" fillId="0" fontId="9" numFmtId="0" xfId="0" applyAlignment="1" applyFont="1">
      <alignment horizontal="right" vertical="bottom"/>
    </xf>
    <xf borderId="0" fillId="11" fontId="7" numFmtId="1" xfId="0" applyAlignment="1" applyFill="1" applyFont="1" applyNumberFormat="1">
      <alignment vertical="bottom"/>
    </xf>
    <xf borderId="1" fillId="11" fontId="7" numFmtId="1" xfId="0" applyAlignment="1" applyBorder="1" applyFont="1" applyNumberFormat="1">
      <alignment vertical="bottom"/>
    </xf>
    <xf borderId="0" fillId="0" fontId="9" numFmtId="1" xfId="0" applyAlignment="1" applyFont="1" applyNumberFormat="1">
      <alignment horizontal="right" vertical="bottom"/>
    </xf>
    <xf borderId="0" fillId="0" fontId="6" numFmtId="9" xfId="0" applyFont="1" applyNumberFormat="1"/>
    <xf borderId="0" fillId="6" fontId="4" numFmtId="0" xfId="0" applyAlignment="1" applyFont="1">
      <alignment vertical="bottom"/>
    </xf>
    <xf borderId="0" fillId="6" fontId="4" numFmtId="10" xfId="0" applyAlignment="1" applyFont="1" applyNumberFormat="1">
      <alignment horizontal="right" vertical="bottom"/>
    </xf>
    <xf borderId="0" fillId="0" fontId="6" numFmtId="9" xfId="0" applyAlignment="1" applyFont="1" applyNumberFormat="1">
      <alignment readingOrder="0"/>
    </xf>
    <xf borderId="0" fillId="2" fontId="1" numFmtId="0" xfId="0" applyAlignment="1" applyFont="1">
      <alignment horizontal="left" readingOrder="0" vertical="bottom"/>
    </xf>
    <xf borderId="0" fillId="12" fontId="6" numFmtId="0" xfId="0" applyAlignment="1" applyFill="1" applyFont="1">
      <alignment readingOrder="0"/>
    </xf>
    <xf borderId="0" fillId="0" fontId="10" numFmtId="0" xfId="0" applyAlignment="1" applyFont="1">
      <alignment vertical="bottom"/>
    </xf>
    <xf borderId="0" fillId="0" fontId="6" numFmtId="10" xfId="0" applyFont="1" applyNumberFormat="1"/>
    <xf borderId="0" fillId="11" fontId="7" numFmtId="0" xfId="0" applyAlignment="1" applyFont="1">
      <alignment vertical="bottom"/>
    </xf>
    <xf borderId="1" fillId="11" fontId="7" numFmtId="0" xfId="0" applyAlignment="1" applyBorder="1" applyFont="1">
      <alignment vertical="bottom"/>
    </xf>
    <xf borderId="2" fillId="0" fontId="8" numFmtId="0" xfId="0" applyAlignment="1" applyBorder="1" applyFont="1">
      <alignment vertical="bottom"/>
    </xf>
    <xf borderId="2" fillId="11" fontId="7" numFmtId="0" xfId="0" applyAlignment="1" applyBorder="1" applyFont="1">
      <alignment vertical="bottom"/>
    </xf>
    <xf borderId="2" fillId="10" fontId="7" numFmtId="0" xfId="0" applyAlignment="1" applyBorder="1" applyFont="1">
      <alignment horizontal="right" vertical="bottom"/>
    </xf>
    <xf borderId="2" fillId="10" fontId="8" numFmtId="0" xfId="0" applyAlignment="1" applyBorder="1" applyFont="1">
      <alignment horizontal="right" vertical="bottom"/>
    </xf>
    <xf borderId="3" fillId="11" fontId="7" numFmtId="0" xfId="0" applyAlignment="1" applyBorder="1" applyFont="1">
      <alignment vertical="bottom"/>
    </xf>
    <xf borderId="3" fillId="0" fontId="9" numFmtId="0" xfId="0" applyAlignment="1" applyBorder="1" applyFont="1">
      <alignment horizontal="right" vertical="bottom"/>
    </xf>
    <xf borderId="0" fillId="0" fontId="11" numFmtId="1" xfId="0" applyAlignment="1" applyFont="1" applyNumberFormat="1">
      <alignment horizontal="right" vertical="bottom"/>
    </xf>
    <xf borderId="0" fillId="0" fontId="12" numFmtId="0" xfId="0" applyAlignment="1" applyFont="1">
      <alignment readingOrder="0"/>
    </xf>
    <xf borderId="1" fillId="0" fontId="11" numFmtId="1" xfId="0" applyAlignment="1" applyBorder="1" applyFont="1" applyNumberFormat="1">
      <alignment horizontal="right" vertical="bottom"/>
    </xf>
    <xf borderId="0" fillId="0" fontId="12" numFmtId="1" xfId="0" applyFont="1" applyNumberFormat="1"/>
    <xf borderId="0" fillId="13" fontId="7" numFmtId="0" xfId="0" applyAlignment="1" applyFill="1" applyFont="1">
      <alignment vertical="bottom"/>
    </xf>
    <xf borderId="0" fillId="10" fontId="7" numFmtId="168" xfId="0" applyAlignment="1" applyFont="1" applyNumberFormat="1">
      <alignment horizontal="right" vertical="bottom"/>
    </xf>
    <xf borderId="0" fillId="10" fontId="8" numFmtId="168" xfId="0" applyAlignment="1" applyFont="1" applyNumberFormat="1">
      <alignment horizontal="right" vertical="bottom"/>
    </xf>
    <xf borderId="1" fillId="10" fontId="8" numFmtId="168" xfId="0" applyAlignment="1" applyBorder="1" applyFont="1" applyNumberFormat="1">
      <alignment horizontal="right" vertical="bottom"/>
    </xf>
    <xf borderId="0" fillId="0" fontId="13" numFmtId="168" xfId="0" applyAlignment="1" applyFont="1" applyNumberFormat="1">
      <alignment horizontal="right" vertical="bottom"/>
    </xf>
    <xf borderId="0" fillId="11" fontId="7" numFmtId="168" xfId="0" applyAlignment="1" applyFont="1" applyNumberFormat="1">
      <alignment vertical="bottom"/>
    </xf>
    <xf borderId="0" fillId="0" fontId="6" numFmtId="1" xfId="0" applyFont="1" applyNumberFormat="1"/>
    <xf borderId="1" fillId="11" fontId="7" numFmtId="168" xfId="0" applyAlignment="1" applyBorder="1" applyFont="1" applyNumberFormat="1">
      <alignment vertical="bottom"/>
    </xf>
    <xf borderId="0" fillId="14" fontId="14" numFmtId="0" xfId="0" applyAlignment="1" applyFill="1" applyFont="1">
      <alignment horizontal="center" readingOrder="0"/>
    </xf>
    <xf borderId="0" fillId="0" fontId="12" numFmtId="10" xfId="0" applyAlignment="1" applyFont="1" applyNumberFormat="1">
      <alignment readingOrder="0"/>
    </xf>
    <xf borderId="0" fillId="0" fontId="1" numFmtId="0" xfId="0" applyAlignment="1" applyFont="1">
      <alignment vertical="bottom"/>
    </xf>
    <xf borderId="0" fillId="0" fontId="1" numFmtId="166" xfId="0" applyAlignment="1" applyFont="1" applyNumberFormat="1">
      <alignment readingOrder="0" vertical="bottom"/>
    </xf>
    <xf borderId="0" fillId="15" fontId="1" numFmtId="0" xfId="0" applyAlignment="1" applyFill="1" applyFont="1">
      <alignment vertical="bottom"/>
    </xf>
    <xf borderId="0" fillId="15" fontId="1" numFmtId="10" xfId="0" applyAlignment="1" applyFont="1" applyNumberFormat="1">
      <alignment horizontal="right" readingOrder="0" vertical="bottom"/>
    </xf>
    <xf borderId="0" fillId="15" fontId="1" numFmtId="0" xfId="0" applyAlignment="1" applyFont="1">
      <alignment horizontal="right" readingOrder="0" vertical="bottom"/>
    </xf>
    <xf borderId="0" fillId="0" fontId="1" numFmtId="10" xfId="0" applyAlignment="1" applyFont="1" applyNumberFormat="1">
      <alignment horizontal="right" vertical="bottom"/>
    </xf>
    <xf borderId="0" fillId="15" fontId="1" numFmtId="169" xfId="0" applyAlignment="1" applyFont="1" applyNumberFormat="1">
      <alignment horizontal="right" readingOrder="0" vertical="bottom"/>
    </xf>
    <xf borderId="0" fillId="0" fontId="1" numFmtId="169" xfId="0" applyAlignment="1" applyFont="1" applyNumberFormat="1">
      <alignment horizontal="right" vertical="bottom"/>
    </xf>
    <xf borderId="1" fillId="10" fontId="7" numFmtId="168" xfId="0" applyAlignment="1" applyBorder="1" applyFont="1" applyNumberFormat="1">
      <alignment horizontal="right" vertical="bottom"/>
    </xf>
    <xf borderId="0" fillId="0" fontId="1" numFmtId="10" xfId="0" applyAlignment="1" applyFont="1" applyNumberFormat="1">
      <alignment horizontal="right" readingOrder="0" vertical="bottom"/>
    </xf>
    <xf borderId="0" fillId="0" fontId="1" numFmtId="0" xfId="0" applyAlignment="1" applyFont="1">
      <alignment horizontal="right" readingOrder="0" vertical="bottom"/>
    </xf>
    <xf borderId="0" fillId="0" fontId="1" numFmtId="169" xfId="0" applyAlignment="1" applyFont="1" applyNumberFormat="1">
      <alignment horizontal="right" readingOrder="0" vertical="bottom"/>
    </xf>
    <xf borderId="0" fillId="0" fontId="6" numFmtId="170" xfId="0" applyAlignment="1" applyFont="1" applyNumberFormat="1">
      <alignment readingOrder="0"/>
    </xf>
    <xf borderId="0" fillId="6" fontId="6" numFmtId="0" xfId="0" applyFont="1"/>
    <xf borderId="0" fillId="16" fontId="6" numFmtId="0" xfId="0" applyAlignment="1" applyFill="1" applyFont="1">
      <alignment readingOrder="0"/>
    </xf>
    <xf borderId="0" fillId="16" fontId="6" numFmtId="0" xfId="0" applyFont="1"/>
    <xf borderId="2" fillId="11" fontId="7" numFmtId="168" xfId="0" applyAlignment="1" applyBorder="1" applyFont="1" applyNumberFormat="1">
      <alignment vertical="bottom"/>
    </xf>
    <xf borderId="2" fillId="10" fontId="8" numFmtId="168" xfId="0" applyAlignment="1" applyBorder="1" applyFont="1" applyNumberFormat="1">
      <alignment horizontal="right" vertical="bottom"/>
    </xf>
    <xf borderId="2" fillId="10" fontId="7" numFmtId="168" xfId="0" applyAlignment="1" applyBorder="1" applyFont="1" applyNumberFormat="1">
      <alignment horizontal="right" vertical="bottom"/>
    </xf>
    <xf borderId="3" fillId="11" fontId="7" numFmtId="168" xfId="0" applyAlignment="1" applyBorder="1" applyFont="1" applyNumberFormat="1">
      <alignment vertical="bottom"/>
    </xf>
    <xf borderId="2" fillId="0" fontId="13" numFmtId="168" xfId="0" applyAlignment="1" applyBorder="1" applyFont="1" applyNumberFormat="1">
      <alignment horizontal="right" vertical="bottom"/>
    </xf>
    <xf borderId="0" fillId="0" fontId="11" numFmtId="168" xfId="0" applyAlignment="1" applyFont="1" applyNumberFormat="1">
      <alignment horizontal="right" vertical="bottom"/>
    </xf>
    <xf borderId="1" fillId="0" fontId="11" numFmtId="168" xfId="0" applyAlignment="1" applyBorder="1" applyFont="1" applyNumberFormat="1">
      <alignment horizontal="right" vertical="bottom"/>
    </xf>
    <xf borderId="0" fillId="0" fontId="9" numFmtId="168" xfId="0" applyAlignment="1" applyFont="1" applyNumberFormat="1">
      <alignment horizontal="right" vertical="bottom"/>
    </xf>
    <xf borderId="0" fillId="0" fontId="7" numFmtId="171" xfId="0" applyAlignment="1" applyFont="1" applyNumberFormat="1">
      <alignment vertical="bottom"/>
    </xf>
    <xf borderId="0" fillId="17" fontId="7" numFmtId="0" xfId="0" applyAlignment="1" applyFill="1" applyFont="1">
      <alignment vertical="bottom"/>
    </xf>
    <xf borderId="0" fillId="0" fontId="7" numFmtId="168" xfId="0" applyAlignment="1" applyFont="1" applyNumberFormat="1">
      <alignment horizontal="right" vertical="bottom"/>
    </xf>
    <xf borderId="0" fillId="0" fontId="1" numFmtId="1" xfId="0" applyAlignment="1" applyFont="1" applyNumberFormat="1">
      <alignment horizontal="right" readingOrder="0" vertical="bottom"/>
    </xf>
    <xf borderId="0" fillId="0" fontId="1" numFmtId="1" xfId="0" applyAlignment="1" applyFont="1" applyNumberFormat="1">
      <alignment readingOrder="0" vertical="bottom"/>
    </xf>
    <xf borderId="0" fillId="14" fontId="6" numFmtId="0" xfId="0" applyAlignment="1" applyFont="1">
      <alignment readingOrder="0"/>
    </xf>
    <xf borderId="0" fillId="0" fontId="6" numFmtId="169" xfId="0" applyAlignment="1" applyFont="1" applyNumberFormat="1">
      <alignment readingOrder="0"/>
    </xf>
    <xf borderId="0" fillId="18" fontId="1" numFmtId="10" xfId="0" applyAlignment="1" applyFill="1" applyFont="1" applyNumberFormat="1">
      <alignment horizontal="right" vertical="bottom"/>
    </xf>
    <xf borderId="0" fillId="19" fontId="1" numFmtId="10" xfId="0" applyAlignment="1" applyFill="1" applyFont="1" applyNumberFormat="1">
      <alignment horizontal="right" vertical="bottom"/>
    </xf>
    <xf borderId="0" fillId="0" fontId="1" numFmtId="10" xfId="0" applyAlignment="1" applyFont="1" applyNumberFormat="1">
      <alignment horizontal="center" vertical="bottom"/>
    </xf>
    <xf borderId="0" fillId="20" fontId="6" numFmtId="0" xfId="0" applyAlignment="1" applyFill="1" applyFont="1">
      <alignment readingOrder="0"/>
    </xf>
    <xf borderId="0" fillId="11" fontId="7" numFmtId="168" xfId="0" applyAlignment="1" applyFont="1" applyNumberFormat="1">
      <alignment horizontal="right" vertical="bottom"/>
    </xf>
    <xf borderId="0" fillId="20" fontId="6" numFmtId="169" xfId="0" applyFont="1" applyNumberFormat="1"/>
    <xf borderId="1" fillId="11" fontId="7" numFmtId="168" xfId="0" applyAlignment="1" applyBorder="1" applyFont="1" applyNumberFormat="1">
      <alignment horizontal="right" vertical="bottom"/>
    </xf>
    <xf borderId="0" fillId="0" fontId="1" numFmtId="169" xfId="0" applyAlignment="1" applyFont="1" applyNumberFormat="1">
      <alignment horizontal="right" vertical="bottom"/>
    </xf>
    <xf borderId="0" fillId="12" fontId="1" numFmtId="169" xfId="0" applyAlignment="1" applyFont="1" applyNumberFormat="1">
      <alignment vertical="bottom"/>
    </xf>
    <xf borderId="0" fillId="0" fontId="8" numFmtId="0" xfId="0" applyAlignment="1" applyFont="1">
      <alignment vertical="bottom"/>
    </xf>
    <xf borderId="0" fillId="21" fontId="6" numFmtId="0" xfId="0" applyAlignment="1" applyFill="1" applyFont="1">
      <alignment readingOrder="0"/>
    </xf>
    <xf borderId="0" fillId="21" fontId="6" numFmtId="169" xfId="0" applyFont="1" applyNumberFormat="1"/>
    <xf borderId="1" fillId="0" fontId="7" numFmtId="168" xfId="0" applyAlignment="1" applyBorder="1" applyFont="1" applyNumberFormat="1">
      <alignment horizontal="right" vertical="bottom"/>
    </xf>
    <xf borderId="2" fillId="0" fontId="7" numFmtId="0" xfId="0" applyAlignment="1" applyBorder="1" applyFont="1">
      <alignment vertical="bottom"/>
    </xf>
    <xf borderId="2" fillId="0" fontId="7" numFmtId="168" xfId="0" applyAlignment="1" applyBorder="1" applyFont="1" applyNumberFormat="1">
      <alignment horizontal="right" vertical="bottom"/>
    </xf>
    <xf borderId="0" fillId="12" fontId="6" numFmtId="2" xfId="0" applyFont="1" applyNumberFormat="1"/>
    <xf borderId="0" fillId="0" fontId="6" numFmtId="2" xfId="0" applyFont="1" applyNumberFormat="1"/>
    <xf borderId="3" fillId="0" fontId="7" numFmtId="168" xfId="0" applyAlignment="1" applyBorder="1" applyFont="1" applyNumberFormat="1">
      <alignment horizontal="right" vertical="bottom"/>
    </xf>
    <xf borderId="0" fillId="0" fontId="6" numFmtId="169" xfId="0" applyFont="1" applyNumberFormat="1"/>
    <xf borderId="0" fillId="0" fontId="15" numFmtId="0" xfId="0" applyAlignment="1" applyFont="1">
      <alignment readingOrder="0"/>
    </xf>
    <xf borderId="0" fillId="0" fontId="6" numFmtId="0" xfId="0" applyAlignment="1" applyFont="1">
      <alignment readingOrder="0" vertical="top"/>
    </xf>
    <xf borderId="0" fillId="0" fontId="16" numFmtId="0" xfId="0" applyAlignment="1" applyFont="1">
      <alignment readingOrder="0"/>
    </xf>
    <xf borderId="0" fillId="0" fontId="16" numFmtId="0" xfId="0" applyFont="1"/>
    <xf borderId="0" fillId="0" fontId="6" numFmtId="0" xfId="0" applyAlignment="1" applyFont="1">
      <alignment readingOrder="0" shrinkToFit="0" vertical="top" wrapText="1"/>
    </xf>
    <xf borderId="0" fillId="0" fontId="16" numFmtId="0" xfId="0" applyAlignment="1" applyFont="1">
      <alignment readingOrder="0"/>
    </xf>
    <xf borderId="0" fillId="0" fontId="6" numFmtId="10" xfId="0" applyAlignment="1" applyFont="1" applyNumberFormat="1">
      <alignment readingOrder="0"/>
    </xf>
    <xf borderId="0" fillId="22" fontId="17" numFmtId="0" xfId="0" applyAlignment="1" applyFill="1" applyFont="1">
      <alignment readingOrder="0"/>
    </xf>
    <xf borderId="0" fillId="22" fontId="17" numFmtId="0" xfId="0" applyFont="1"/>
    <xf borderId="0" fillId="0" fontId="8" numFmtId="0" xfId="0" applyAlignment="1" applyFont="1">
      <alignment readingOrder="0" vertical="bottom"/>
    </xf>
    <xf borderId="0" fillId="0" fontId="18" numFmtId="0" xfId="0" applyAlignment="1" applyFont="1">
      <alignment readingOrder="0"/>
    </xf>
    <xf borderId="0" fillId="0" fontId="18" numFmtId="0" xfId="0" applyFont="1"/>
    <xf borderId="0" fillId="0" fontId="18" numFmtId="172" xfId="0" applyAlignment="1" applyFont="1" applyNumberFormat="1">
      <alignment readingOrder="0"/>
    </xf>
    <xf borderId="0" fillId="0" fontId="18" numFmtId="0" xfId="0" applyAlignment="1" applyFont="1">
      <alignment readingOrder="0"/>
    </xf>
    <xf borderId="0" fillId="0" fontId="7" numFmtId="168" xfId="0" applyAlignment="1" applyFont="1" applyNumberFormat="1">
      <alignment vertical="bottom"/>
    </xf>
    <xf borderId="1" fillId="0" fontId="7" numFmtId="168" xfId="0" applyAlignment="1" applyBorder="1" applyFont="1" applyNumberFormat="1">
      <alignment vertical="bottom"/>
    </xf>
    <xf borderId="0" fillId="23" fontId="19" numFmtId="168" xfId="0" applyAlignment="1" applyFill="1" applyFont="1" applyNumberFormat="1">
      <alignment horizontal="right" vertical="bottom"/>
    </xf>
    <xf quotePrefix="1" borderId="0" fillId="0" fontId="18" numFmtId="0" xfId="0" applyAlignment="1" applyFont="1">
      <alignment readingOrder="0"/>
    </xf>
    <xf borderId="0" fillId="24" fontId="20" numFmtId="168" xfId="0" applyAlignment="1" applyFill="1" applyFont="1" applyNumberFormat="1">
      <alignment horizontal="right" vertical="bottom"/>
    </xf>
    <xf borderId="0" fillId="2" fontId="6" numFmtId="173" xfId="0" applyAlignment="1" applyFont="1" applyNumberFormat="1">
      <alignment readingOrder="0"/>
    </xf>
    <xf borderId="1" fillId="24" fontId="20" numFmtId="168" xfId="0" applyAlignment="1" applyBorder="1" applyFont="1" applyNumberFormat="1">
      <alignment horizontal="right" vertical="bottom"/>
    </xf>
    <xf borderId="0" fillId="25" fontId="7" numFmtId="0" xfId="0" applyAlignment="1" applyFill="1" applyFont="1">
      <alignment vertical="bottom"/>
    </xf>
    <xf borderId="0" fillId="0" fontId="21" numFmtId="0" xfId="0" applyAlignment="1" applyFont="1">
      <alignment readingOrder="0"/>
    </xf>
    <xf borderId="1" fillId="25" fontId="7" numFmtId="0" xfId="0" applyAlignment="1" applyBorder="1" applyFont="1">
      <alignment vertical="bottom"/>
    </xf>
    <xf borderId="0" fillId="26" fontId="7" numFmtId="0" xfId="0" applyAlignment="1" applyFill="1" applyFont="1">
      <alignment vertical="bottom"/>
    </xf>
    <xf borderId="0" fillId="27" fontId="7" numFmtId="0" xfId="0" applyAlignment="1" applyFill="1" applyFont="1">
      <alignment vertical="bottom"/>
    </xf>
    <xf borderId="0" fillId="24" fontId="22" numFmtId="168" xfId="0" applyAlignment="1" applyFont="1" applyNumberFormat="1">
      <alignment horizontal="right" vertical="bottom"/>
    </xf>
    <xf borderId="0" fillId="28" fontId="7" numFmtId="2" xfId="0" applyAlignment="1" applyFill="1" applyFont="1" applyNumberFormat="1">
      <alignment horizontal="right" vertical="bottom"/>
    </xf>
    <xf borderId="1" fillId="28" fontId="7" numFmtId="2" xfId="0" applyAlignment="1" applyBorder="1" applyFont="1" applyNumberFormat="1">
      <alignment horizontal="right" vertical="bottom"/>
    </xf>
    <xf borderId="0" fillId="28" fontId="9" numFmtId="2" xfId="0" applyAlignment="1" applyFont="1" applyNumberFormat="1">
      <alignment horizontal="right" vertical="bottom"/>
    </xf>
    <xf borderId="0" fillId="29" fontId="7" numFmtId="168" xfId="0" applyAlignment="1" applyFill="1" applyFont="1" applyNumberFormat="1">
      <alignment horizontal="right" vertical="bottom"/>
    </xf>
    <xf borderId="1" fillId="29" fontId="7" numFmtId="168" xfId="0" applyAlignment="1" applyBorder="1" applyFont="1" applyNumberFormat="1">
      <alignment horizontal="right" vertical="bottom"/>
    </xf>
    <xf borderId="0" fillId="30" fontId="2" numFmtId="2" xfId="0" applyAlignment="1" applyFill="1" applyFont="1" applyNumberFormat="1">
      <alignment horizontal="right" vertical="bottom"/>
    </xf>
    <xf borderId="1" fillId="30" fontId="2" numFmtId="2" xfId="0" applyAlignment="1" applyBorder="1" applyFont="1" applyNumberFormat="1">
      <alignment horizontal="right" vertical="bottom"/>
    </xf>
    <xf borderId="0" fillId="31" fontId="2" numFmtId="0" xfId="0" applyAlignment="1" applyFill="1" applyFont="1">
      <alignment vertical="bottom"/>
    </xf>
    <xf borderId="0" fillId="32" fontId="7" numFmtId="0" xfId="0" applyAlignment="1" applyFill="1" applyFont="1">
      <alignment vertical="bottom"/>
    </xf>
    <xf borderId="0" fillId="33" fontId="23" numFmtId="168" xfId="0" applyAlignment="1" applyFill="1" applyFont="1" applyNumberFormat="1">
      <alignment horizontal="right" vertical="bottom"/>
    </xf>
    <xf borderId="0" fillId="33" fontId="7" numFmtId="168" xfId="0" applyAlignment="1" applyFont="1" applyNumberFormat="1">
      <alignment vertical="bottom"/>
    </xf>
    <xf borderId="1" fillId="33" fontId="23" numFmtId="168" xfId="0" applyAlignment="1" applyBorder="1" applyFont="1" applyNumberFormat="1">
      <alignment horizontal="right" vertical="bottom"/>
    </xf>
    <xf borderId="0" fillId="33" fontId="23" numFmtId="2" xfId="0" applyAlignment="1" applyFont="1" applyNumberFormat="1">
      <alignment horizontal="center" vertical="bottom"/>
    </xf>
    <xf borderId="0" fillId="33" fontId="7" numFmtId="2" xfId="0" applyAlignment="1" applyFont="1" applyNumberFormat="1">
      <alignment vertical="bottom"/>
    </xf>
    <xf borderId="1" fillId="33" fontId="23" numFmtId="2" xfId="0" applyAlignment="1" applyBorder="1" applyFont="1" applyNumberFormat="1">
      <alignment horizontal="center" vertical="bottom"/>
    </xf>
    <xf borderId="0" fillId="28" fontId="9" numFmtId="2" xfId="0" applyAlignment="1" applyFont="1" applyNumberFormat="1">
      <alignment horizontal="center" vertical="bottom"/>
    </xf>
    <xf borderId="0" fillId="33" fontId="23" numFmtId="168" xfId="0" applyAlignment="1" applyFont="1" applyNumberFormat="1">
      <alignment horizontal="center" vertical="bottom"/>
    </xf>
    <xf borderId="1" fillId="33" fontId="23" numFmtId="168" xfId="0" applyAlignment="1" applyBorder="1" applyFont="1" applyNumberFormat="1">
      <alignment horizontal="center" vertical="bottom"/>
    </xf>
    <xf borderId="0" fillId="34" fontId="2" numFmtId="0" xfId="0" applyAlignment="1" applyFill="1" applyFont="1">
      <alignment vertical="bottom"/>
    </xf>
    <xf borderId="0" fillId="35" fontId="7" numFmtId="0" xfId="0" applyAlignment="1" applyFill="1" applyFont="1">
      <alignment vertical="bottom"/>
    </xf>
    <xf borderId="0" fillId="0" fontId="7" numFmtId="2" xfId="0" applyAlignment="1" applyFont="1" applyNumberFormat="1">
      <alignment vertical="bottom"/>
    </xf>
    <xf borderId="1" fillId="0" fontId="7" numFmtId="2" xfId="0" applyAlignment="1" applyBorder="1" applyFont="1" applyNumberFormat="1">
      <alignment vertical="bottom"/>
    </xf>
    <xf borderId="0" fillId="36" fontId="7" numFmtId="0" xfId="0" applyAlignment="1" applyFill="1" applyFont="1">
      <alignment vertical="bottom"/>
    </xf>
    <xf borderId="0" fillId="37" fontId="7" numFmtId="0" xfId="0" applyAlignment="1" applyFill="1" applyFont="1">
      <alignment vertical="bottom"/>
    </xf>
    <xf borderId="0" fillId="23" fontId="24" numFmtId="168" xfId="0" applyAlignment="1" applyFont="1" applyNumberFormat="1">
      <alignment horizontal="right" vertical="bottom"/>
    </xf>
    <xf borderId="0" fillId="28" fontId="7" numFmtId="2" xfId="0" applyAlignment="1" applyFont="1" applyNumberFormat="1">
      <alignment horizontal="center" vertical="bottom"/>
    </xf>
    <xf borderId="1" fillId="28" fontId="7" numFmtId="2" xfId="0" applyAlignment="1" applyBorder="1" applyFont="1" applyNumberFormat="1">
      <alignment horizontal="center" vertical="bottom"/>
    </xf>
    <xf borderId="0" fillId="29" fontId="7" numFmtId="168" xfId="0" applyAlignment="1" applyFont="1" applyNumberFormat="1">
      <alignment horizontal="center" vertical="bottom"/>
    </xf>
    <xf borderId="1" fillId="29" fontId="7" numFmtId="168" xfId="0" applyAlignment="1" applyBorder="1" applyFont="1" applyNumberFormat="1">
      <alignment horizontal="center" vertical="bottom"/>
    </xf>
    <xf borderId="0" fillId="30" fontId="2" numFmtId="2" xfId="0" applyAlignment="1" applyFont="1" applyNumberFormat="1">
      <alignment horizontal="center" vertical="bottom"/>
    </xf>
    <xf borderId="1" fillId="30" fontId="2" numFmtId="2" xfId="0" applyAlignment="1" applyBorder="1" applyFont="1" applyNumberFormat="1">
      <alignment horizontal="center" vertical="bottom"/>
    </xf>
    <xf borderId="1" fillId="0" fontId="7" numFmtId="171" xfId="0" applyAlignment="1" applyBorder="1" applyFont="1" applyNumberForma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0" fillId="38" fontId="7" numFmtId="0" xfId="0" applyAlignment="1" applyFill="1" applyFont="1">
      <alignment vertical="bottom"/>
    </xf>
    <xf borderId="0" fillId="39" fontId="25" numFmtId="0" xfId="0" applyAlignment="1" applyFill="1" applyFont="1">
      <alignment vertical="bottom"/>
    </xf>
    <xf borderId="0" fillId="0" fontId="26" numFmtId="168" xfId="0" applyAlignment="1" applyFont="1" applyNumberFormat="1">
      <alignment horizontal="right" vertical="bottom"/>
    </xf>
    <xf borderId="1" fillId="0" fontId="26" numFmtId="168" xfId="0" applyAlignment="1" applyBorder="1" applyFont="1" applyNumberFormat="1">
      <alignment horizontal="right" vertical="bottom"/>
    </xf>
    <xf borderId="0" fillId="40" fontId="2" numFmtId="0" xfId="0" applyAlignment="1" applyFill="1" applyFont="1">
      <alignment vertical="bottom"/>
    </xf>
    <xf borderId="0" fillId="41" fontId="2" numFmtId="0" xfId="0" applyAlignment="1" applyFill="1" applyFont="1">
      <alignment vertical="bottom"/>
    </xf>
    <xf borderId="0" fillId="42" fontId="2" numFmtId="0" xfId="0" applyAlignment="1" applyFill="1" applyFont="1">
      <alignment vertical="bottom"/>
    </xf>
    <xf borderId="0" fillId="10" fontId="7" numFmtId="0" xfId="0" applyAlignment="1" applyFont="1">
      <alignment vertical="bottom"/>
    </xf>
    <xf borderId="0" fillId="0" fontId="8" numFmtId="168" xfId="0" applyAlignment="1" applyFont="1" applyNumberFormat="1">
      <alignment horizontal="right" vertical="bottom"/>
    </xf>
    <xf borderId="1" fillId="0" fontId="8" numFmtId="168" xfId="0" applyAlignment="1" applyBorder="1" applyFont="1" applyNumberFormat="1">
      <alignment horizontal="right" vertical="bottom"/>
    </xf>
    <xf borderId="0" fillId="43" fontId="7" numFmtId="168" xfId="0" applyAlignment="1" applyFill="1" applyFont="1" applyNumberFormat="1">
      <alignment horizontal="right" shrinkToFit="0" vertical="bottom" wrapText="1"/>
    </xf>
    <xf borderId="1" fillId="43" fontId="7" numFmtId="168" xfId="0" applyAlignment="1" applyBorder="1" applyFont="1" applyNumberFormat="1">
      <alignment horizontal="right" shrinkToFit="0" vertical="bottom" wrapText="1"/>
    </xf>
    <xf borderId="0" fillId="43" fontId="11" numFmtId="168" xfId="0" applyAlignment="1" applyFont="1" applyNumberFormat="1">
      <alignment horizontal="right" shrinkToFit="0" vertical="bottom" wrapText="1"/>
    </xf>
    <xf borderId="0" fillId="43" fontId="7" numFmtId="0" xfId="0" applyAlignment="1" applyFont="1">
      <alignment vertical="bottom"/>
    </xf>
    <xf borderId="0" fillId="0" fontId="7" numFmtId="0" xfId="0" applyAlignment="1" applyFont="1">
      <alignment horizontal="right" vertical="bottom"/>
    </xf>
    <xf borderId="0" fillId="0" fontId="8" numFmtId="0" xfId="0" applyAlignment="1" applyFont="1">
      <alignment horizontal="right" vertical="bottom"/>
    </xf>
    <xf borderId="1" fillId="0" fontId="8" numFmtId="0" xfId="0" applyAlignment="1" applyBorder="1" applyFont="1">
      <alignment horizontal="right" vertical="bottom"/>
    </xf>
    <xf borderId="0" fillId="0" fontId="11" numFmtId="0" xfId="0" applyAlignment="1" applyFont="1">
      <alignment horizontal="right" vertical="bottom"/>
    </xf>
    <xf borderId="1" fillId="0" fontId="7" numFmtId="0" xfId="0" applyAlignment="1" applyBorder="1" applyFont="1">
      <alignment horizontal="right" vertical="bottom"/>
    </xf>
    <xf borderId="0" fillId="43" fontId="7" numFmtId="0" xfId="0" applyAlignment="1" applyFont="1">
      <alignment horizontal="right" vertical="bottom"/>
    </xf>
    <xf borderId="0" fillId="43" fontId="8" numFmtId="0" xfId="0" applyAlignment="1" applyFont="1">
      <alignment horizontal="right" vertical="bottom"/>
    </xf>
    <xf borderId="1" fillId="43" fontId="7" numFmtId="0" xfId="0" applyAlignment="1" applyBorder="1" applyFont="1">
      <alignment horizontal="right" vertical="bottom"/>
    </xf>
    <xf borderId="0" fillId="10" fontId="11" numFmtId="0" xfId="0" applyAlignment="1" applyFont="1">
      <alignment horizontal="right" vertical="bottom"/>
    </xf>
    <xf borderId="0" fillId="19" fontId="7" numFmtId="0" xfId="0" applyAlignment="1" applyFont="1">
      <alignment vertical="bottom"/>
    </xf>
    <xf borderId="0" fillId="0" fontId="27" numFmtId="168" xfId="0" applyAlignment="1" applyFont="1" applyNumberFormat="1">
      <alignment horizontal="right" vertical="bottom"/>
    </xf>
    <xf borderId="1" fillId="0" fontId="27" numFmtId="168" xfId="0" applyAlignment="1" applyBorder="1" applyFont="1" applyNumberFormat="1">
      <alignment horizontal="right" vertical="bottom"/>
    </xf>
    <xf borderId="0" fillId="44" fontId="7" numFmtId="0" xfId="0" applyAlignment="1" applyFill="1" applyFont="1">
      <alignment vertical="bottom"/>
    </xf>
    <xf borderId="0" fillId="44" fontId="7" numFmtId="168" xfId="0" applyAlignment="1" applyFont="1" applyNumberFormat="1">
      <alignment horizontal="right" vertical="bottom"/>
    </xf>
    <xf borderId="1" fillId="44" fontId="7" numFmtId="168" xfId="0" applyAlignment="1" applyBorder="1" applyFont="1" applyNumberFormat="1">
      <alignment horizontal="right" vertical="bottom"/>
    </xf>
    <xf borderId="0" fillId="44" fontId="11" numFmtId="168" xfId="0" applyAlignment="1" applyFont="1" applyNumberFormat="1">
      <alignment horizontal="right" vertical="bottom"/>
    </xf>
    <xf borderId="0" fillId="45" fontId="7" numFmtId="168" xfId="0" applyAlignment="1" applyFill="1" applyFont="1" applyNumberFormat="1">
      <alignment horizontal="right" vertical="bottom"/>
    </xf>
    <xf borderId="0" fillId="18" fontId="7" numFmtId="168" xfId="0" applyAlignment="1" applyFont="1" applyNumberFormat="1">
      <alignment horizontal="right" vertical="bottom"/>
    </xf>
    <xf borderId="1" fillId="18" fontId="7" numFmtId="168" xfId="0" applyAlignment="1" applyBorder="1" applyFont="1" applyNumberFormat="1">
      <alignment horizontal="right" vertical="bottom"/>
    </xf>
    <xf borderId="0" fillId="46" fontId="28" numFmtId="0" xfId="0" applyAlignment="1" applyFill="1" applyFont="1">
      <alignment horizontal="right" vertical="bottom"/>
    </xf>
    <xf borderId="0" fillId="46" fontId="27" numFmtId="0" xfId="0" applyAlignment="1" applyFont="1">
      <alignment horizontal="right" vertical="bottom"/>
    </xf>
    <xf borderId="1" fillId="46" fontId="27" numFmtId="0" xfId="0" applyAlignment="1" applyBorder="1" applyFont="1">
      <alignment horizontal="right" vertical="bottom"/>
    </xf>
    <xf borderId="0" fillId="46" fontId="11" numFmtId="0" xfId="0" applyAlignment="1" applyFont="1">
      <alignment horizontal="right" vertical="bottom"/>
    </xf>
    <xf borderId="0" fillId="0" fontId="7" numFmtId="169" xfId="0" applyAlignment="1" applyFont="1" applyNumberFormat="1">
      <alignment horizontal="right" vertical="bottom"/>
    </xf>
    <xf borderId="0" fillId="0" fontId="8" numFmtId="169" xfId="0" applyAlignment="1" applyFont="1" applyNumberFormat="1">
      <alignment horizontal="right" vertical="bottom"/>
    </xf>
    <xf borderId="1" fillId="0" fontId="7" numFmtId="169" xfId="0" applyAlignment="1" applyBorder="1" applyFont="1" applyNumberFormat="1">
      <alignment horizontal="right" vertical="bottom"/>
    </xf>
    <xf borderId="0" fillId="0" fontId="29" numFmtId="169" xfId="0" applyAlignment="1" applyFont="1" applyNumberFormat="1">
      <alignment horizontal="right" vertical="bottom"/>
    </xf>
    <xf borderId="0" fillId="44" fontId="7" numFmtId="169" xfId="0" applyAlignment="1" applyFont="1" applyNumberFormat="1">
      <alignment horizontal="right" vertical="bottom"/>
    </xf>
    <xf borderId="1" fillId="44" fontId="7" numFmtId="169" xfId="0" applyAlignment="1" applyBorder="1" applyFont="1" applyNumberFormat="1">
      <alignment horizontal="right" vertical="bottom"/>
    </xf>
    <xf borderId="0" fillId="44" fontId="11" numFmtId="169" xfId="0" applyAlignment="1" applyFont="1" applyNumberFormat="1">
      <alignment horizontal="right" vertical="bottom"/>
    </xf>
    <xf borderId="0" fillId="46" fontId="7" numFmtId="0" xfId="0" applyAlignment="1" applyFont="1">
      <alignment horizontal="right" vertical="bottom"/>
    </xf>
    <xf borderId="1" fillId="46" fontId="7" numFmtId="0" xfId="0" applyAlignment="1" applyBorder="1" applyFont="1">
      <alignment horizontal="right" vertical="bottom"/>
    </xf>
    <xf borderId="0" fillId="44" fontId="11" numFmtId="0" xfId="0" applyAlignment="1" applyFont="1">
      <alignment horizontal="right" vertical="bottom"/>
    </xf>
    <xf borderId="0" fillId="0" fontId="7" numFmtId="1" xfId="0" applyAlignment="1" applyFont="1" applyNumberFormat="1">
      <alignment horizontal="right" vertical="bottom"/>
    </xf>
    <xf borderId="0" fillId="0" fontId="8" numFmtId="1" xfId="0" applyAlignment="1" applyFont="1" applyNumberFormat="1">
      <alignment horizontal="right" vertical="bottom"/>
    </xf>
    <xf borderId="0" fillId="46" fontId="7" numFmtId="0" xfId="0" applyAlignment="1" applyFont="1">
      <alignment vertical="bottom"/>
    </xf>
    <xf borderId="0" fillId="46" fontId="7" numFmtId="1" xfId="0" applyAlignment="1" applyFont="1" applyNumberFormat="1">
      <alignment horizontal="right" vertical="bottom"/>
    </xf>
    <xf borderId="0" fillId="46" fontId="11" numFmtId="1" xfId="0" applyAlignment="1" applyFont="1" applyNumberFormat="1">
      <alignment horizontal="right" vertical="bottom"/>
    </xf>
    <xf borderId="0" fillId="0" fontId="7" numFmtId="1" xfId="0" applyAlignment="1" applyFont="1" applyNumberFormat="1">
      <alignment vertical="bottom"/>
    </xf>
    <xf borderId="1" fillId="46" fontId="7" numFmtId="1" xfId="0" applyAlignment="1" applyBorder="1" applyFont="1" applyNumberFormat="1">
      <alignment horizontal="right" vertical="bottom"/>
    </xf>
    <xf borderId="0" fillId="47" fontId="7" numFmtId="168" xfId="0" applyAlignment="1" applyFill="1" applyFont="1" applyNumberFormat="1">
      <alignment horizontal="right" vertical="bottom"/>
    </xf>
    <xf borderId="0" fillId="48" fontId="7" numFmtId="168" xfId="0" applyAlignment="1" applyFill="1" applyFont="1" applyNumberFormat="1">
      <alignment horizontal="right" vertical="bottom"/>
    </xf>
    <xf borderId="0" fillId="49" fontId="7" numFmtId="168" xfId="0" applyAlignment="1" applyFill="1" applyFont="1" applyNumberFormat="1">
      <alignment horizontal="right" vertical="bottom"/>
    </xf>
    <xf borderId="0" fillId="50" fontId="7" numFmtId="168" xfId="0" applyAlignment="1" applyFill="1" applyFont="1" applyNumberFormat="1">
      <alignment horizontal="right" vertical="bottom"/>
    </xf>
    <xf borderId="0" fillId="51" fontId="7" numFmtId="168" xfId="0" applyAlignment="1" applyFill="1" applyFont="1" applyNumberFormat="1">
      <alignment horizontal="right" vertical="bottom"/>
    </xf>
    <xf borderId="0" fillId="52" fontId="7" numFmtId="168" xfId="0" applyAlignment="1" applyFill="1" applyFont="1" applyNumberFormat="1">
      <alignment horizontal="right" vertical="bottom"/>
    </xf>
    <xf borderId="0" fillId="53" fontId="7" numFmtId="168" xfId="0" applyAlignment="1" applyFill="1" applyFont="1" applyNumberFormat="1">
      <alignment horizontal="right" vertical="bottom"/>
    </xf>
    <xf borderId="0" fillId="54" fontId="7" numFmtId="168" xfId="0" applyAlignment="1" applyFill="1" applyFont="1" applyNumberFormat="1">
      <alignment horizontal="right" vertical="bottom"/>
    </xf>
    <xf borderId="0" fillId="55" fontId="7" numFmtId="168" xfId="0" applyAlignment="1" applyFill="1" applyFont="1" applyNumberFormat="1">
      <alignment horizontal="right" vertical="bottom"/>
    </xf>
    <xf borderId="0" fillId="56" fontId="7" numFmtId="168" xfId="0" applyAlignment="1" applyFill="1" applyFont="1" applyNumberFormat="1">
      <alignment horizontal="right" vertical="bottom"/>
    </xf>
    <xf borderId="0" fillId="57" fontId="7" numFmtId="168" xfId="0" applyAlignment="1" applyFill="1" applyFont="1" applyNumberFormat="1">
      <alignment horizontal="right" vertical="bottom"/>
    </xf>
    <xf borderId="0" fillId="58" fontId="7" numFmtId="168" xfId="0" applyAlignment="1" applyFill="1" applyFont="1" applyNumberFormat="1">
      <alignment horizontal="right" vertical="bottom"/>
    </xf>
    <xf borderId="0" fillId="59" fontId="7" numFmtId="168" xfId="0" applyAlignment="1" applyFill="1" applyFont="1" applyNumberFormat="1">
      <alignment horizontal="right" vertical="bottom"/>
    </xf>
    <xf borderId="0" fillId="60" fontId="7" numFmtId="168" xfId="0" applyAlignment="1" applyFill="1" applyFont="1" applyNumberFormat="1">
      <alignment horizontal="right" vertical="bottom"/>
    </xf>
    <xf borderId="0" fillId="61" fontId="7" numFmtId="168" xfId="0" applyAlignment="1" applyFill="1" applyFont="1" applyNumberFormat="1">
      <alignment horizontal="right" vertical="bottom"/>
    </xf>
    <xf borderId="0" fillId="62" fontId="7" numFmtId="168" xfId="0" applyAlignment="1" applyFill="1" applyFont="1" applyNumberFormat="1">
      <alignment horizontal="right" vertical="bottom"/>
    </xf>
    <xf borderId="0" fillId="63" fontId="7" numFmtId="168" xfId="0" applyAlignment="1" applyFill="1" applyFont="1" applyNumberFormat="1">
      <alignment horizontal="right" vertical="bottom"/>
    </xf>
    <xf borderId="0" fillId="64" fontId="7" numFmtId="168" xfId="0" applyAlignment="1" applyFill="1" applyFont="1" applyNumberFormat="1">
      <alignment horizontal="right" vertical="bottom"/>
    </xf>
    <xf borderId="0" fillId="65" fontId="7" numFmtId="168" xfId="0" applyAlignment="1" applyFill="1" applyFont="1" applyNumberFormat="1">
      <alignment horizontal="right" vertical="bottom"/>
    </xf>
    <xf borderId="0" fillId="66" fontId="7" numFmtId="168" xfId="0" applyAlignment="1" applyFill="1" applyFont="1" applyNumberFormat="1">
      <alignment horizontal="right" vertical="bottom"/>
    </xf>
    <xf borderId="0" fillId="67" fontId="7" numFmtId="168" xfId="0" applyAlignment="1" applyFill="1" applyFont="1" applyNumberFormat="1">
      <alignment horizontal="right" vertical="bottom"/>
    </xf>
    <xf borderId="0" fillId="68" fontId="7" numFmtId="168" xfId="0" applyAlignment="1" applyFill="1" applyFont="1" applyNumberFormat="1">
      <alignment horizontal="right" vertical="bottom"/>
    </xf>
    <xf borderId="0" fillId="69" fontId="7" numFmtId="168" xfId="0" applyAlignment="1" applyFill="1" applyFont="1" applyNumberFormat="1">
      <alignment horizontal="right" vertical="bottom"/>
    </xf>
    <xf borderId="0" fillId="70" fontId="7" numFmtId="168" xfId="0" applyAlignment="1" applyFill="1" applyFont="1" applyNumberFormat="1">
      <alignment horizontal="right" vertical="bottom"/>
    </xf>
    <xf borderId="0" fillId="71" fontId="7" numFmtId="168" xfId="0" applyAlignment="1" applyFill="1" applyFont="1" applyNumberFormat="1">
      <alignment horizontal="right" vertical="bottom"/>
    </xf>
    <xf borderId="0" fillId="72" fontId="7" numFmtId="168" xfId="0" applyAlignment="1" applyFill="1" applyFont="1" applyNumberFormat="1">
      <alignment horizontal="right" vertical="bottom"/>
    </xf>
    <xf borderId="0" fillId="73" fontId="7" numFmtId="168" xfId="0" applyAlignment="1" applyFill="1" applyFont="1" applyNumberFormat="1">
      <alignment horizontal="right" vertical="bottom"/>
    </xf>
    <xf borderId="1" fillId="74" fontId="7" numFmtId="168" xfId="0" applyAlignment="1" applyBorder="1" applyFill="1" applyFont="1" applyNumberFormat="1">
      <alignment horizontal="right" vertical="bottom"/>
    </xf>
    <xf borderId="0" fillId="0" fontId="30" numFmtId="0" xfId="0" applyAlignment="1" applyFont="1">
      <alignment vertical="bottom"/>
    </xf>
    <xf borderId="0" fillId="0" fontId="30" numFmtId="168" xfId="0" applyAlignment="1" applyFont="1" applyNumberFormat="1">
      <alignment horizontal="right" vertical="bottom"/>
    </xf>
    <xf borderId="1" fillId="0" fontId="30" numFmtId="168" xfId="0" applyAlignment="1" applyBorder="1" applyFont="1" applyNumberFormat="1">
      <alignment horizontal="right" vertical="bottom"/>
    </xf>
    <xf borderId="0" fillId="75" fontId="7" numFmtId="0" xfId="0" applyAlignment="1" applyFill="1" applyFont="1">
      <alignment vertical="bottom"/>
    </xf>
    <xf borderId="0" fillId="76" fontId="11" numFmtId="2" xfId="0" applyAlignment="1" applyFill="1" applyFont="1" applyNumberFormat="1">
      <alignment horizontal="right" vertical="bottom"/>
    </xf>
    <xf borderId="0" fillId="77" fontId="11" numFmtId="2" xfId="0" applyAlignment="1" applyFill="1" applyFont="1" applyNumberFormat="1">
      <alignment horizontal="right" vertical="bottom"/>
    </xf>
    <xf borderId="0" fillId="78" fontId="11" numFmtId="2" xfId="0" applyAlignment="1" applyFill="1" applyFont="1" applyNumberFormat="1">
      <alignment horizontal="right" vertical="bottom"/>
    </xf>
    <xf borderId="0" fillId="79" fontId="11" numFmtId="2" xfId="0" applyAlignment="1" applyFill="1" applyFont="1" applyNumberFormat="1">
      <alignment horizontal="right" vertical="bottom"/>
    </xf>
    <xf borderId="0" fillId="80" fontId="11" numFmtId="2" xfId="0" applyAlignment="1" applyFill="1" applyFont="1" applyNumberFormat="1">
      <alignment horizontal="right" vertical="bottom"/>
    </xf>
    <xf borderId="0" fillId="81" fontId="11" numFmtId="2" xfId="0" applyAlignment="1" applyFill="1" applyFont="1" applyNumberFormat="1">
      <alignment horizontal="right" vertical="bottom"/>
    </xf>
    <xf borderId="0" fillId="82" fontId="11" numFmtId="2" xfId="0" applyAlignment="1" applyFill="1" applyFont="1" applyNumberFormat="1">
      <alignment horizontal="right" vertical="bottom"/>
    </xf>
    <xf borderId="0" fillId="83" fontId="11" numFmtId="2" xfId="0" applyAlignment="1" applyFill="1" applyFont="1" applyNumberFormat="1">
      <alignment horizontal="right" vertical="bottom"/>
    </xf>
    <xf borderId="0" fillId="84" fontId="11" numFmtId="2" xfId="0" applyAlignment="1" applyFill="1" applyFont="1" applyNumberFormat="1">
      <alignment horizontal="right" vertical="bottom"/>
    </xf>
    <xf borderId="0" fillId="85" fontId="11" numFmtId="2" xfId="0" applyAlignment="1" applyFill="1" applyFont="1" applyNumberFormat="1">
      <alignment horizontal="right" vertical="bottom"/>
    </xf>
    <xf borderId="0" fillId="86" fontId="11" numFmtId="2" xfId="0" applyAlignment="1" applyFill="1" applyFont="1" applyNumberFormat="1">
      <alignment horizontal="right" vertical="bottom"/>
    </xf>
    <xf borderId="0" fillId="87" fontId="11" numFmtId="2" xfId="0" applyAlignment="1" applyFill="1" applyFont="1" applyNumberFormat="1">
      <alignment horizontal="right" vertical="bottom"/>
    </xf>
    <xf borderId="0" fillId="88" fontId="11" numFmtId="2" xfId="0" applyAlignment="1" applyFill="1" applyFont="1" applyNumberFormat="1">
      <alignment horizontal="right" vertical="bottom"/>
    </xf>
    <xf borderId="0" fillId="89" fontId="11" numFmtId="2" xfId="0" applyAlignment="1" applyFill="1" applyFont="1" applyNumberFormat="1">
      <alignment horizontal="right" vertical="bottom"/>
    </xf>
    <xf borderId="0" fillId="90" fontId="11" numFmtId="2" xfId="0" applyAlignment="1" applyFill="1" applyFont="1" applyNumberFormat="1">
      <alignment horizontal="right" vertical="bottom"/>
    </xf>
    <xf borderId="0" fillId="91" fontId="11" numFmtId="2" xfId="0" applyAlignment="1" applyFill="1" applyFont="1" applyNumberFormat="1">
      <alignment horizontal="right" vertical="bottom"/>
    </xf>
    <xf borderId="0" fillId="74" fontId="11" numFmtId="2" xfId="0" applyAlignment="1" applyFont="1" applyNumberFormat="1">
      <alignment horizontal="right" vertical="bottom"/>
    </xf>
    <xf borderId="0" fillId="92" fontId="11" numFmtId="2" xfId="0" applyAlignment="1" applyFill="1" applyFont="1" applyNumberFormat="1">
      <alignment horizontal="right" vertical="bottom"/>
    </xf>
    <xf borderId="0" fillId="93" fontId="11" numFmtId="2" xfId="0" applyAlignment="1" applyFill="1" applyFont="1" applyNumberFormat="1">
      <alignment horizontal="right" vertical="bottom"/>
    </xf>
    <xf borderId="0" fillId="94" fontId="11" numFmtId="2" xfId="0" applyAlignment="1" applyFill="1" applyFont="1" applyNumberFormat="1">
      <alignment horizontal="right" vertical="bottom"/>
    </xf>
    <xf borderId="0" fillId="95" fontId="11" numFmtId="2" xfId="0" applyAlignment="1" applyFill="1" applyFont="1" applyNumberFormat="1">
      <alignment horizontal="right" vertical="bottom"/>
    </xf>
    <xf borderId="0" fillId="96" fontId="11" numFmtId="2" xfId="0" applyAlignment="1" applyFill="1" applyFont="1" applyNumberFormat="1">
      <alignment horizontal="right" vertical="bottom"/>
    </xf>
    <xf borderId="0" fillId="97" fontId="11" numFmtId="2" xfId="0" applyAlignment="1" applyFill="1" applyFont="1" applyNumberFormat="1">
      <alignment horizontal="right" vertical="bottom"/>
    </xf>
    <xf borderId="0" fillId="98" fontId="11" numFmtId="2" xfId="0" applyAlignment="1" applyFill="1" applyFont="1" applyNumberFormat="1">
      <alignment horizontal="right" vertical="bottom"/>
    </xf>
    <xf borderId="0" fillId="99" fontId="11" numFmtId="2" xfId="0" applyAlignment="1" applyFill="1" applyFont="1" applyNumberFormat="1">
      <alignment horizontal="right" vertical="bottom"/>
    </xf>
    <xf borderId="0" fillId="100" fontId="11" numFmtId="2" xfId="0" applyAlignment="1" applyFill="1" applyFont="1" applyNumberFormat="1">
      <alignment horizontal="right" vertical="bottom"/>
    </xf>
    <xf borderId="0" fillId="101" fontId="11" numFmtId="2" xfId="0" applyAlignment="1" applyFill="1" applyFont="1" applyNumberFormat="1">
      <alignment horizontal="right" vertical="bottom"/>
    </xf>
    <xf borderId="1" fillId="102" fontId="11" numFmtId="2" xfId="0" applyAlignment="1" applyBorder="1" applyFill="1" applyFont="1" applyNumberFormat="1">
      <alignment horizontal="right" vertical="bottom"/>
    </xf>
    <xf borderId="0" fillId="103" fontId="7" numFmtId="0" xfId="0" applyAlignment="1" applyFill="1" applyFont="1">
      <alignment horizontal="right" vertical="bottom"/>
    </xf>
    <xf borderId="0" fillId="104" fontId="7" numFmtId="0" xfId="0" applyAlignment="1" applyFill="1" applyFont="1">
      <alignment horizontal="right" vertical="bottom"/>
    </xf>
    <xf borderId="0" fillId="80" fontId="7" numFmtId="0" xfId="0" applyAlignment="1" applyFont="1">
      <alignment horizontal="right" vertical="bottom"/>
    </xf>
    <xf borderId="0" fillId="105" fontId="7" numFmtId="0" xfId="0" applyAlignment="1" applyFill="1" applyFont="1">
      <alignment horizontal="right" vertical="bottom"/>
    </xf>
    <xf borderId="0" fillId="74" fontId="7" numFmtId="0" xfId="0" applyAlignment="1" applyFont="1">
      <alignment horizontal="right" vertical="bottom"/>
    </xf>
    <xf borderId="0" fillId="106" fontId="7" numFmtId="0" xfId="0" applyAlignment="1" applyFill="1" applyFont="1">
      <alignment horizontal="right" vertical="bottom"/>
    </xf>
    <xf borderId="0" fillId="107" fontId="7" numFmtId="0" xfId="0" applyAlignment="1" applyFill="1" applyFont="1">
      <alignment horizontal="right" vertical="bottom"/>
    </xf>
    <xf borderId="0" fillId="108" fontId="7" numFmtId="0" xfId="0" applyAlignment="1" applyFill="1" applyFont="1">
      <alignment horizontal="right" vertical="bottom"/>
    </xf>
    <xf borderId="0" fillId="106" fontId="8" numFmtId="0" xfId="0" applyAlignment="1" applyFont="1">
      <alignment horizontal="right" vertical="bottom"/>
    </xf>
    <xf borderId="0" fillId="108" fontId="8" numFmtId="0" xfId="0" applyAlignment="1" applyFont="1">
      <alignment horizontal="right" vertical="bottom"/>
    </xf>
    <xf borderId="0" fillId="107" fontId="8" numFmtId="0" xfId="0" applyAlignment="1" applyFont="1">
      <alignment horizontal="right" vertical="bottom"/>
    </xf>
    <xf borderId="0" fillId="103" fontId="8" numFmtId="0" xfId="0" applyAlignment="1" applyFont="1">
      <alignment horizontal="right" vertical="bottom"/>
    </xf>
    <xf borderId="0" fillId="109" fontId="7" numFmtId="0" xfId="0" applyAlignment="1" applyFill="1" applyFont="1">
      <alignment horizontal="right" vertical="bottom"/>
    </xf>
    <xf borderId="0" fillId="110" fontId="7" numFmtId="0" xfId="0" applyAlignment="1" applyFill="1" applyFont="1">
      <alignment horizontal="right" vertical="bottom"/>
    </xf>
    <xf borderId="1" fillId="102" fontId="7" numFmtId="0" xfId="0" applyAlignment="1" applyBorder="1" applyFont="1">
      <alignment horizontal="right" vertical="bottom"/>
    </xf>
    <xf borderId="0" fillId="0" fontId="7" numFmtId="174" xfId="0" applyAlignment="1" applyFont="1" applyNumberFormat="1">
      <alignment vertical="bottom"/>
    </xf>
    <xf borderId="1" fillId="0" fontId="7" numFmtId="174" xfId="0" applyAlignment="1" applyBorder="1" applyFont="1" applyNumberFormat="1">
      <alignment vertical="bottom"/>
    </xf>
    <xf borderId="0" fillId="0" fontId="7" numFmtId="2" xfId="0" applyAlignment="1" applyFont="1" applyNumberFormat="1">
      <alignment horizontal="right" vertical="bottom"/>
    </xf>
    <xf borderId="0" fillId="0" fontId="31" numFmtId="0" xfId="0" applyAlignment="1" applyFont="1">
      <alignment vertical="bottom"/>
    </xf>
    <xf borderId="0" fillId="111" fontId="7" numFmtId="168" xfId="0" applyAlignment="1" applyFill="1" applyFont="1" applyNumberFormat="1">
      <alignment vertical="bottom"/>
    </xf>
    <xf borderId="1" fillId="111" fontId="7" numFmtId="168" xfId="0" applyAlignment="1" applyBorder="1" applyFont="1" applyNumberFormat="1">
      <alignment vertical="bottom"/>
    </xf>
    <xf borderId="0" fillId="0" fontId="31" numFmtId="168" xfId="0" applyAlignment="1" applyFont="1" applyNumberFormat="1">
      <alignment horizontal="right" vertical="bottom"/>
    </xf>
    <xf borderId="1" fillId="0" fontId="31" numFmtId="168" xfId="0" applyAlignment="1" applyBorder="1" applyFont="1" applyNumberFormat="1">
      <alignment horizontal="right" vertical="bottom"/>
    </xf>
    <xf borderId="1" fillId="0" fontId="31" numFmtId="0" xfId="0" applyAlignment="1" applyBorder="1" applyFont="1">
      <alignment vertical="bottom"/>
    </xf>
    <xf borderId="4" fillId="0" fontId="7" numFmtId="0" xfId="0" applyAlignment="1" applyBorder="1" applyFont="1">
      <alignment vertical="bottom"/>
    </xf>
    <xf borderId="1" fillId="0" fontId="6" numFmtId="0" xfId="0" applyBorder="1" applyFont="1"/>
    <xf borderId="4" fillId="0" fontId="6" numFmtId="0" xfId="0" applyBorder="1" applyFont="1"/>
  </cellXfs>
  <cellStyles count="1">
    <cellStyle xfId="0" name="Normal" builtinId="0"/>
  </cellStyles>
  <dxfs count="4">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Sales!$A$8</c:f>
            </c:strRef>
          </c:tx>
          <c:spPr>
            <a:solidFill>
              <a:srgbClr val="4285F4">
                <a:alpha val="30000"/>
              </a:srgbClr>
            </a:solidFill>
            <a:ln cmpd="sng">
              <a:solidFill>
                <a:srgbClr val="4285F4"/>
              </a:solidFill>
            </a:ln>
          </c:spPr>
          <c:cat>
            <c:strRef>
              <c:f>Sales!$B$1:$AF$1</c:f>
            </c:strRef>
          </c:cat>
          <c:val>
            <c:numRef>
              <c:f>Sales!$B$8:$AF$8</c:f>
              <c:numCache/>
            </c:numRef>
          </c:val>
        </c:ser>
        <c:ser>
          <c:idx val="1"/>
          <c:order val="1"/>
          <c:tx>
            <c:strRef>
              <c:f>Sales!$A$17</c:f>
            </c:strRef>
          </c:tx>
          <c:spPr>
            <a:solidFill>
              <a:srgbClr val="EA4335">
                <a:alpha val="30000"/>
              </a:srgbClr>
            </a:solidFill>
            <a:ln cmpd="sng">
              <a:solidFill>
                <a:srgbClr val="EA4335"/>
              </a:solidFill>
            </a:ln>
          </c:spPr>
          <c:cat>
            <c:strRef>
              <c:f>Sales!$B$1:$AF$1</c:f>
            </c:strRef>
          </c:cat>
          <c:val>
            <c:numRef>
              <c:f>Sales!$B$17:$AF$17</c:f>
              <c:numCache/>
            </c:numRef>
          </c:val>
        </c:ser>
        <c:axId val="1012892264"/>
        <c:axId val="726087868"/>
      </c:areaChart>
      <c:catAx>
        <c:axId val="10128922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26087868"/>
      </c:catAx>
      <c:valAx>
        <c:axId val="7260878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1289226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ROAS</a:t>
            </a:r>
          </a:p>
        </c:rich>
      </c:tx>
      <c:overlay val="0"/>
    </c:title>
    <c:plotArea>
      <c:layout/>
      <c:barChart>
        <c:barDir val="col"/>
        <c:ser>
          <c:idx val="0"/>
          <c:order val="0"/>
          <c:tx>
            <c:strRef>
              <c:f>Sales!$A$19</c:f>
            </c:strRef>
          </c:tx>
          <c:spPr>
            <a:solidFill>
              <a:schemeClr val="accent1"/>
            </a:solidFill>
            <a:ln cmpd="sng">
              <a:noFill/>
            </a:ln>
          </c:spPr>
          <c:cat>
            <c:strRef>
              <c:f>Sales!$B$1:$AF$1</c:f>
            </c:strRef>
          </c:cat>
          <c:val>
            <c:numRef>
              <c:f>Sales!$B$19:$AF$19</c:f>
              <c:numCache/>
            </c:numRef>
          </c:val>
        </c:ser>
        <c:axId val="1308725159"/>
        <c:axId val="1505830513"/>
      </c:barChart>
      <c:catAx>
        <c:axId val="13087251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05830513"/>
      </c:catAx>
      <c:valAx>
        <c:axId val="15058305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ROAS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0872515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lineChart>
        <c:ser>
          <c:idx val="0"/>
          <c:order val="0"/>
          <c:tx>
            <c:strRef>
              <c:f>Sales!$A$8</c:f>
            </c:strRef>
          </c:tx>
          <c:spPr>
            <a:ln cmpd="sng">
              <a:solidFill>
                <a:srgbClr val="4285F4"/>
              </a:solidFill>
            </a:ln>
          </c:spPr>
          <c:marker>
            <c:symbol val="none"/>
          </c:marker>
          <c:cat>
            <c:strRef>
              <c:f>Sales!$B$1:$AF$1</c:f>
            </c:strRef>
          </c:cat>
          <c:val>
            <c:numRef>
              <c:f>Sales!$B$8:$AF$8</c:f>
              <c:numCache/>
            </c:numRef>
          </c:val>
          <c:smooth val="0"/>
        </c:ser>
        <c:ser>
          <c:idx val="1"/>
          <c:order val="1"/>
          <c:tx>
            <c:strRef>
              <c:f>Sales!$A$17</c:f>
            </c:strRef>
          </c:tx>
          <c:spPr>
            <a:ln cmpd="sng">
              <a:solidFill>
                <a:srgbClr val="EA4335"/>
              </a:solidFill>
            </a:ln>
          </c:spPr>
          <c:marker>
            <c:symbol val="none"/>
          </c:marker>
          <c:cat>
            <c:strRef>
              <c:f>Sales!$B$1:$AF$1</c:f>
            </c:strRef>
          </c:cat>
          <c:val>
            <c:numRef>
              <c:f>Sales!$B$17:$AF$17</c:f>
              <c:numCache/>
            </c:numRef>
          </c:val>
          <c:smooth val="0"/>
        </c:ser>
        <c:axId val="232837239"/>
        <c:axId val="1700060363"/>
      </c:lineChart>
      <c:catAx>
        <c:axId val="2328372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00060363"/>
      </c:catAx>
      <c:valAx>
        <c:axId val="1700060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3283723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41</xdr:row>
      <xdr:rowOff>0</xdr:rowOff>
    </xdr:from>
    <xdr:ext cx="7781925" cy="2257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52</xdr:row>
      <xdr:rowOff>57150</xdr:rowOff>
    </xdr:from>
    <xdr:ext cx="7781925" cy="2314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704850</xdr:colOff>
      <xdr:row>40</xdr:row>
      <xdr:rowOff>200025</xdr:rowOff>
    </xdr:from>
    <xdr:ext cx="7038975" cy="46005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32" width="10.25"/>
  </cols>
  <sheetData>
    <row r="1">
      <c r="A1" s="44" t="s">
        <v>0</v>
      </c>
      <c r="B1" s="1">
        <v>44409.0</v>
      </c>
      <c r="C1" s="1">
        <v>44410.0</v>
      </c>
      <c r="D1" s="1">
        <v>44411.0</v>
      </c>
      <c r="E1" s="1">
        <v>44412.0</v>
      </c>
      <c r="F1" s="1">
        <v>44413.0</v>
      </c>
      <c r="G1" s="1">
        <v>44414.0</v>
      </c>
      <c r="H1" s="1">
        <v>44415.0</v>
      </c>
      <c r="I1" s="1">
        <v>44416.0</v>
      </c>
      <c r="J1" s="1">
        <v>44417.0</v>
      </c>
      <c r="K1" s="1">
        <v>44418.0</v>
      </c>
      <c r="L1" s="1">
        <v>44419.0</v>
      </c>
      <c r="M1" s="1">
        <v>44420.0</v>
      </c>
      <c r="N1" s="1">
        <v>44421.0</v>
      </c>
      <c r="O1" s="1">
        <v>44422.0</v>
      </c>
      <c r="P1" s="1">
        <v>44423.0</v>
      </c>
      <c r="Q1" s="1">
        <v>44424.0</v>
      </c>
      <c r="R1" s="1">
        <v>44425.0</v>
      </c>
      <c r="S1" s="1">
        <v>44426.0</v>
      </c>
      <c r="T1" s="1">
        <v>44427.0</v>
      </c>
      <c r="U1" s="1">
        <v>44428.0</v>
      </c>
      <c r="V1" s="1">
        <v>44429.0</v>
      </c>
      <c r="W1" s="1">
        <v>44430.0</v>
      </c>
      <c r="X1" s="1">
        <v>44431.0</v>
      </c>
      <c r="Y1" s="1">
        <v>44432.0</v>
      </c>
      <c r="Z1" s="1">
        <v>44433.0</v>
      </c>
      <c r="AA1" s="1">
        <v>44434.0</v>
      </c>
      <c r="AB1" s="1">
        <v>44435.0</v>
      </c>
      <c r="AC1" s="1">
        <v>44436.0</v>
      </c>
      <c r="AD1" s="1">
        <v>44437.0</v>
      </c>
      <c r="AE1" s="1">
        <v>44438.0</v>
      </c>
      <c r="AF1" s="1">
        <v>44439.0</v>
      </c>
    </row>
    <row r="2">
      <c r="B2" s="13" t="s">
        <v>14</v>
      </c>
      <c r="C2" s="13" t="s">
        <v>18</v>
      </c>
      <c r="D2" s="13" t="s">
        <v>19</v>
      </c>
      <c r="E2" s="13" t="s">
        <v>20</v>
      </c>
      <c r="F2" s="13" t="s">
        <v>22</v>
      </c>
      <c r="G2" s="13" t="s">
        <v>24</v>
      </c>
      <c r="H2" s="13" t="s">
        <v>25</v>
      </c>
      <c r="I2" s="13" t="s">
        <v>14</v>
      </c>
      <c r="J2" s="13" t="s">
        <v>14</v>
      </c>
      <c r="K2" s="13" t="s">
        <v>18</v>
      </c>
      <c r="L2" s="13" t="s">
        <v>19</v>
      </c>
      <c r="M2" s="13" t="s">
        <v>20</v>
      </c>
      <c r="N2" s="13" t="s">
        <v>22</v>
      </c>
      <c r="O2" s="13" t="s">
        <v>24</v>
      </c>
      <c r="P2" s="13" t="s">
        <v>25</v>
      </c>
      <c r="Q2" s="13" t="s">
        <v>14</v>
      </c>
      <c r="R2" s="13" t="s">
        <v>14</v>
      </c>
      <c r="S2" s="13" t="s">
        <v>18</v>
      </c>
      <c r="T2" s="13" t="s">
        <v>19</v>
      </c>
      <c r="U2" s="13" t="s">
        <v>20</v>
      </c>
      <c r="V2" s="13" t="s">
        <v>22</v>
      </c>
      <c r="W2" s="13" t="s">
        <v>24</v>
      </c>
      <c r="X2" s="13" t="s">
        <v>25</v>
      </c>
      <c r="Y2" s="13" t="s">
        <v>14</v>
      </c>
      <c r="Z2" s="19" t="s">
        <v>14</v>
      </c>
      <c r="AA2" s="19" t="s">
        <v>18</v>
      </c>
      <c r="AB2" s="19" t="s">
        <v>19</v>
      </c>
      <c r="AC2" s="19" t="s">
        <v>20</v>
      </c>
      <c r="AD2" s="19" t="s">
        <v>22</v>
      </c>
      <c r="AE2" s="19" t="s">
        <v>24</v>
      </c>
      <c r="AF2" s="19" t="s">
        <v>25</v>
      </c>
    </row>
    <row r="4">
      <c r="A4" s="45" t="s">
        <v>110</v>
      </c>
      <c r="C4" s="99" t="s">
        <v>222</v>
      </c>
    </row>
    <row r="6">
      <c r="A6" s="45" t="s">
        <v>81</v>
      </c>
      <c r="B6" s="100">
        <v>2266.0</v>
      </c>
      <c r="C6" s="100">
        <v>2648.0</v>
      </c>
      <c r="D6" s="100">
        <v>2495.0</v>
      </c>
      <c r="E6" s="100">
        <v>2799.0</v>
      </c>
      <c r="F6" s="100">
        <v>1116.0</v>
      </c>
      <c r="G6" s="100">
        <v>3895.0</v>
      </c>
      <c r="H6" s="100">
        <v>4143.0</v>
      </c>
      <c r="I6" s="100">
        <v>2736.0</v>
      </c>
      <c r="J6" s="100">
        <v>4076.0</v>
      </c>
      <c r="K6" s="100">
        <v>1709.0</v>
      </c>
      <c r="L6" s="100">
        <v>1854.0</v>
      </c>
      <c r="M6" s="100">
        <v>2039.0</v>
      </c>
      <c r="N6" s="100">
        <v>540.0</v>
      </c>
      <c r="O6" s="100">
        <v>1307.0</v>
      </c>
      <c r="P6" s="100">
        <v>873.0</v>
      </c>
      <c r="Q6" s="100">
        <v>2022.0</v>
      </c>
      <c r="R6" s="100">
        <v>220.0</v>
      </c>
      <c r="S6" s="100">
        <v>0.0</v>
      </c>
      <c r="T6" s="100">
        <v>1005.0</v>
      </c>
      <c r="U6" s="100">
        <v>1589.0</v>
      </c>
      <c r="V6" s="100">
        <v>0.0</v>
      </c>
      <c r="W6" s="100">
        <v>196.0</v>
      </c>
      <c r="X6" s="100">
        <v>473.0</v>
      </c>
      <c r="Y6" s="100">
        <v>206.0</v>
      </c>
      <c r="Z6" s="100">
        <v>760.0</v>
      </c>
      <c r="AA6" s="100">
        <v>1701.0</v>
      </c>
      <c r="AB6" s="100">
        <v>616.0</v>
      </c>
      <c r="AC6" s="100">
        <v>202.0</v>
      </c>
      <c r="AD6" s="100">
        <v>856.0</v>
      </c>
      <c r="AE6" s="100">
        <v>255.0</v>
      </c>
      <c r="AF6" s="100">
        <v>0.0</v>
      </c>
    </row>
    <row r="7">
      <c r="A7" s="45" t="s">
        <v>12</v>
      </c>
      <c r="B7" s="100">
        <v>17191.0</v>
      </c>
      <c r="C7" s="100">
        <v>10945.0</v>
      </c>
      <c r="D7" s="100">
        <v>10375.0</v>
      </c>
      <c r="E7" s="100">
        <v>12387.0</v>
      </c>
      <c r="F7" s="100">
        <v>8501.0</v>
      </c>
      <c r="G7" s="100">
        <v>10197.0</v>
      </c>
      <c r="H7" s="100">
        <v>7967.0</v>
      </c>
      <c r="I7" s="100">
        <v>9485.0</v>
      </c>
      <c r="J7" s="100">
        <v>5519.0</v>
      </c>
      <c r="K7" s="100">
        <v>7115.0</v>
      </c>
      <c r="L7" s="100">
        <v>7120.0</v>
      </c>
      <c r="M7" s="100">
        <v>7058.0</v>
      </c>
      <c r="N7" s="100">
        <v>6625.0</v>
      </c>
      <c r="O7" s="100">
        <v>5426.0</v>
      </c>
      <c r="P7" s="100">
        <v>9198.0</v>
      </c>
      <c r="Q7" s="100">
        <v>6919.0</v>
      </c>
      <c r="R7" s="100">
        <v>6277.0</v>
      </c>
      <c r="S7" s="100">
        <v>7468.0</v>
      </c>
      <c r="T7" s="100">
        <v>3393.0</v>
      </c>
      <c r="U7" s="100">
        <v>7464.0</v>
      </c>
      <c r="V7" s="100">
        <v>9654.0</v>
      </c>
      <c r="W7" s="100">
        <v>10780.0</v>
      </c>
      <c r="X7" s="100">
        <v>7230.0</v>
      </c>
      <c r="Y7" s="100">
        <v>7202.0</v>
      </c>
      <c r="Z7" s="100">
        <v>7176.0</v>
      </c>
      <c r="AA7" s="100">
        <v>7842.0</v>
      </c>
      <c r="AB7" s="100">
        <v>8645.0</v>
      </c>
      <c r="AC7" s="100">
        <v>7834.0</v>
      </c>
      <c r="AD7" s="100">
        <v>8270.0</v>
      </c>
      <c r="AE7" s="100">
        <v>7236.0</v>
      </c>
      <c r="AF7" s="100">
        <v>4910.0</v>
      </c>
    </row>
    <row r="8">
      <c r="A8" s="104" t="s">
        <v>226</v>
      </c>
      <c r="B8" s="106">
        <f t="shared" ref="B8:AF8" si="1">SUM(B6:B7)</f>
        <v>19457</v>
      </c>
      <c r="C8" s="106">
        <f t="shared" si="1"/>
        <v>13593</v>
      </c>
      <c r="D8" s="106">
        <f t="shared" si="1"/>
        <v>12870</v>
      </c>
      <c r="E8" s="106">
        <f t="shared" si="1"/>
        <v>15186</v>
      </c>
      <c r="F8" s="106">
        <f t="shared" si="1"/>
        <v>9617</v>
      </c>
      <c r="G8" s="106">
        <f t="shared" si="1"/>
        <v>14092</v>
      </c>
      <c r="H8" s="106">
        <f t="shared" si="1"/>
        <v>12110</v>
      </c>
      <c r="I8" s="106">
        <f t="shared" si="1"/>
        <v>12221</v>
      </c>
      <c r="J8" s="106">
        <f t="shared" si="1"/>
        <v>9595</v>
      </c>
      <c r="K8" s="106">
        <f t="shared" si="1"/>
        <v>8824</v>
      </c>
      <c r="L8" s="106">
        <f t="shared" si="1"/>
        <v>8974</v>
      </c>
      <c r="M8" s="106">
        <f t="shared" si="1"/>
        <v>9097</v>
      </c>
      <c r="N8" s="106">
        <f t="shared" si="1"/>
        <v>7165</v>
      </c>
      <c r="O8" s="106">
        <f t="shared" si="1"/>
        <v>6733</v>
      </c>
      <c r="P8" s="106">
        <f t="shared" si="1"/>
        <v>10071</v>
      </c>
      <c r="Q8" s="106">
        <f t="shared" si="1"/>
        <v>8941</v>
      </c>
      <c r="R8" s="106">
        <f t="shared" si="1"/>
        <v>6497</v>
      </c>
      <c r="S8" s="106">
        <f t="shared" si="1"/>
        <v>7468</v>
      </c>
      <c r="T8" s="106">
        <f t="shared" si="1"/>
        <v>4398</v>
      </c>
      <c r="U8" s="106">
        <f t="shared" si="1"/>
        <v>9053</v>
      </c>
      <c r="V8" s="106">
        <f t="shared" si="1"/>
        <v>9654</v>
      </c>
      <c r="W8" s="106">
        <f t="shared" si="1"/>
        <v>10976</v>
      </c>
      <c r="X8" s="106">
        <f t="shared" si="1"/>
        <v>7703</v>
      </c>
      <c r="Y8" s="106">
        <f t="shared" si="1"/>
        <v>7408</v>
      </c>
      <c r="Z8" s="106">
        <f t="shared" si="1"/>
        <v>7936</v>
      </c>
      <c r="AA8" s="106">
        <f t="shared" si="1"/>
        <v>9543</v>
      </c>
      <c r="AB8" s="106">
        <f t="shared" si="1"/>
        <v>9261</v>
      </c>
      <c r="AC8" s="106">
        <f t="shared" si="1"/>
        <v>8036</v>
      </c>
      <c r="AD8" s="106">
        <f t="shared" si="1"/>
        <v>9126</v>
      </c>
      <c r="AE8" s="106">
        <f t="shared" si="1"/>
        <v>7491</v>
      </c>
      <c r="AF8" s="106">
        <f t="shared" si="1"/>
        <v>4910</v>
      </c>
    </row>
    <row r="9">
      <c r="A9" s="22" t="s">
        <v>212</v>
      </c>
      <c r="B9" s="22">
        <v>69.0</v>
      </c>
      <c r="C9" s="22">
        <v>49.0</v>
      </c>
      <c r="D9" s="22">
        <v>47.0</v>
      </c>
      <c r="E9" s="22">
        <v>63.0</v>
      </c>
      <c r="F9" s="22">
        <v>38.0</v>
      </c>
      <c r="G9" s="22">
        <v>55.0</v>
      </c>
      <c r="H9" s="22">
        <v>50.0</v>
      </c>
      <c r="I9" s="22">
        <v>45.0</v>
      </c>
      <c r="J9" s="22">
        <v>41.0</v>
      </c>
      <c r="K9" s="22">
        <v>32.0</v>
      </c>
      <c r="L9" s="22">
        <v>36.0</v>
      </c>
      <c r="M9" s="22">
        <v>35.0</v>
      </c>
      <c r="N9" s="22">
        <v>26.0</v>
      </c>
      <c r="O9" s="22">
        <v>25.0</v>
      </c>
      <c r="P9" s="22">
        <v>35.0</v>
      </c>
      <c r="Q9" s="22">
        <v>33.0</v>
      </c>
      <c r="R9" s="22">
        <v>25.0</v>
      </c>
      <c r="S9" s="22">
        <v>29.0</v>
      </c>
      <c r="T9" s="22">
        <v>17.0</v>
      </c>
      <c r="U9" s="22">
        <v>37.0</v>
      </c>
      <c r="V9" s="22">
        <v>35.0</v>
      </c>
      <c r="W9" s="22">
        <v>39.0</v>
      </c>
      <c r="X9" s="22">
        <v>26.0</v>
      </c>
      <c r="Y9" s="22">
        <v>27.0</v>
      </c>
      <c r="Z9" s="22">
        <v>30.0</v>
      </c>
      <c r="AA9" s="22">
        <v>39.0</v>
      </c>
      <c r="AB9" s="22">
        <v>37.0</v>
      </c>
      <c r="AC9" s="22">
        <v>29.0</v>
      </c>
      <c r="AD9" s="22">
        <v>36.0</v>
      </c>
      <c r="AE9" s="22">
        <v>31.0</v>
      </c>
      <c r="AF9" s="22">
        <v>20.0</v>
      </c>
    </row>
    <row r="11">
      <c r="A11" s="45" t="s">
        <v>231</v>
      </c>
      <c r="B11" s="77">
        <v>3930.46</v>
      </c>
      <c r="C11" s="108">
        <v>3116.25</v>
      </c>
      <c r="D11" s="108">
        <v>4066.75</v>
      </c>
      <c r="E11" s="108">
        <v>4115.87</v>
      </c>
      <c r="F11" s="108">
        <v>4080.0</v>
      </c>
      <c r="G11" s="108">
        <v>4553.98</v>
      </c>
      <c r="H11" s="108">
        <v>3638.76</v>
      </c>
      <c r="I11" s="108">
        <v>2978.91</v>
      </c>
      <c r="J11" s="77">
        <v>2898.89</v>
      </c>
      <c r="K11" s="108">
        <v>2430.05</v>
      </c>
      <c r="L11" s="108">
        <v>1974.56</v>
      </c>
      <c r="M11" s="77">
        <v>1277.33</v>
      </c>
      <c r="N11" s="77">
        <v>1284.07</v>
      </c>
      <c r="O11" s="77">
        <v>1417.81</v>
      </c>
      <c r="P11" s="77">
        <v>1372.36</v>
      </c>
      <c r="Q11" s="77">
        <v>1598.13</v>
      </c>
      <c r="R11" s="77">
        <v>1708.5</v>
      </c>
      <c r="S11" s="77">
        <v>2011.99</v>
      </c>
      <c r="T11" s="77">
        <v>2358.06</v>
      </c>
      <c r="U11" s="77">
        <v>2655.29</v>
      </c>
      <c r="V11" s="77">
        <v>2445.38</v>
      </c>
      <c r="W11" s="77">
        <v>2479.78</v>
      </c>
      <c r="X11" s="77">
        <v>2415.26</v>
      </c>
      <c r="Y11" s="77">
        <v>2974.25</v>
      </c>
      <c r="Z11" s="77">
        <v>3427.93</v>
      </c>
      <c r="AA11" s="77">
        <v>3142.54</v>
      </c>
      <c r="AB11" s="77">
        <v>3011.57</v>
      </c>
      <c r="AC11" s="77">
        <v>2736.01</v>
      </c>
      <c r="AD11" s="77">
        <v>2617.35</v>
      </c>
      <c r="AE11" s="77">
        <v>1022.26</v>
      </c>
      <c r="AF11" s="109"/>
    </row>
    <row r="12">
      <c r="A12" s="45" t="s">
        <v>233</v>
      </c>
      <c r="B12" s="77">
        <v>2866.63</v>
      </c>
      <c r="C12" s="77">
        <v>2613.94</v>
      </c>
      <c r="D12" s="77">
        <v>1723.09</v>
      </c>
      <c r="E12" s="77">
        <v>1391.28</v>
      </c>
      <c r="F12" s="77">
        <v>2513.78</v>
      </c>
      <c r="G12" s="77">
        <v>993.3</v>
      </c>
      <c r="H12" s="109"/>
      <c r="I12" s="109"/>
      <c r="J12" s="77">
        <v>510.92</v>
      </c>
      <c r="K12" s="108">
        <v>1118.55</v>
      </c>
      <c r="L12" s="77">
        <v>955.94</v>
      </c>
      <c r="M12" s="77">
        <v>1142.12</v>
      </c>
      <c r="N12" s="77">
        <v>1148.12</v>
      </c>
      <c r="O12" s="77">
        <v>756.12</v>
      </c>
      <c r="P12" s="77">
        <v>618.09</v>
      </c>
      <c r="Q12" s="77">
        <v>405.44</v>
      </c>
      <c r="R12" s="77">
        <v>322.56</v>
      </c>
      <c r="S12" s="77">
        <v>585.53</v>
      </c>
      <c r="T12" s="77">
        <v>417.34</v>
      </c>
      <c r="U12" s="109"/>
      <c r="V12" s="109"/>
      <c r="W12" s="109"/>
      <c r="X12" s="109"/>
      <c r="Y12" s="109"/>
      <c r="Z12" s="109"/>
      <c r="AA12" s="109"/>
      <c r="AB12" s="109"/>
      <c r="AC12" s="109"/>
      <c r="AD12" s="109"/>
      <c r="AE12" s="109"/>
      <c r="AF12" s="109"/>
    </row>
    <row r="13">
      <c r="A13" s="45" t="s">
        <v>161</v>
      </c>
      <c r="B13" s="77">
        <v>394.63</v>
      </c>
      <c r="C13" s="77">
        <v>0.47</v>
      </c>
      <c r="D13" s="109"/>
      <c r="E13" s="109"/>
      <c r="F13" s="109"/>
      <c r="G13" s="109"/>
      <c r="H13" s="109"/>
      <c r="I13" s="109"/>
      <c r="J13" s="109"/>
      <c r="K13" s="109"/>
      <c r="L13" s="109"/>
      <c r="M13" s="109"/>
      <c r="N13" s="109"/>
      <c r="O13" s="109"/>
      <c r="P13" s="109"/>
      <c r="Q13" s="109"/>
      <c r="R13" s="109"/>
      <c r="S13" s="109"/>
      <c r="T13" s="109"/>
      <c r="U13" s="109"/>
      <c r="V13" s="109"/>
      <c r="W13" s="109"/>
      <c r="X13" s="109"/>
      <c r="Y13" s="109"/>
      <c r="Z13" s="109"/>
      <c r="AA13" s="109"/>
      <c r="AB13" s="109"/>
      <c r="AC13" s="109"/>
      <c r="AD13" s="109"/>
      <c r="AE13" s="109"/>
      <c r="AF13" s="109"/>
    </row>
    <row r="14">
      <c r="A14" s="45" t="s">
        <v>182</v>
      </c>
      <c r="B14" s="109"/>
      <c r="C14" s="109"/>
      <c r="D14" s="109"/>
      <c r="E14" s="109"/>
      <c r="F14" s="109"/>
      <c r="G14" s="109"/>
      <c r="H14" s="109"/>
      <c r="I14" s="109"/>
      <c r="J14" s="109"/>
      <c r="K14" s="108">
        <v>109.41</v>
      </c>
      <c r="L14" s="77">
        <v>117.42</v>
      </c>
      <c r="M14" s="77">
        <v>116.94</v>
      </c>
      <c r="N14" s="77">
        <v>229.85</v>
      </c>
      <c r="O14" s="77">
        <v>235.79</v>
      </c>
      <c r="P14" s="77">
        <v>235.53</v>
      </c>
      <c r="Q14" s="77">
        <v>188.02</v>
      </c>
      <c r="R14" s="77">
        <v>117.23</v>
      </c>
      <c r="S14" s="77">
        <v>114.32</v>
      </c>
      <c r="T14" s="77">
        <v>67.48</v>
      </c>
      <c r="U14" s="109"/>
      <c r="V14" s="109"/>
      <c r="W14" s="109"/>
      <c r="X14" s="109"/>
      <c r="Y14" s="109"/>
      <c r="Z14" s="109"/>
      <c r="AA14" s="109"/>
      <c r="AB14" s="109"/>
      <c r="AC14" s="109"/>
      <c r="AD14" s="109"/>
      <c r="AE14" s="109"/>
      <c r="AF14" s="109"/>
    </row>
    <row r="15">
      <c r="A15" s="45" t="s">
        <v>237</v>
      </c>
      <c r="B15" s="77">
        <v>391.27</v>
      </c>
      <c r="C15" s="77">
        <v>326.3</v>
      </c>
      <c r="D15" s="77">
        <v>284.92</v>
      </c>
      <c r="E15" s="77">
        <v>284.52</v>
      </c>
      <c r="F15" s="77">
        <v>331.33</v>
      </c>
      <c r="G15" s="77">
        <v>265.73</v>
      </c>
      <c r="H15" s="77">
        <v>256.41</v>
      </c>
      <c r="I15" s="77">
        <v>220.36</v>
      </c>
      <c r="J15" s="77">
        <v>303.02</v>
      </c>
      <c r="K15" s="108">
        <v>299.55</v>
      </c>
      <c r="L15" s="77">
        <v>344.3</v>
      </c>
      <c r="M15" s="77">
        <v>331.49</v>
      </c>
      <c r="N15" s="77">
        <v>350.49</v>
      </c>
      <c r="O15" s="77">
        <v>350.97</v>
      </c>
      <c r="P15" s="77">
        <v>367.91</v>
      </c>
      <c r="Q15" s="77">
        <v>396.35</v>
      </c>
      <c r="R15" s="77">
        <v>373.47</v>
      </c>
      <c r="S15" s="77">
        <v>245.73</v>
      </c>
      <c r="T15" s="77">
        <v>281.21</v>
      </c>
      <c r="U15" s="77">
        <v>344.54</v>
      </c>
      <c r="V15" s="77">
        <v>477.52</v>
      </c>
      <c r="W15" s="77">
        <v>518.9</v>
      </c>
      <c r="X15" s="77">
        <v>608.15</v>
      </c>
      <c r="Y15" s="77">
        <v>604.94</v>
      </c>
      <c r="Z15" s="77">
        <v>407.15</v>
      </c>
      <c r="AA15" s="77">
        <v>95.57</v>
      </c>
      <c r="AB15" s="77">
        <v>88.52</v>
      </c>
      <c r="AC15" s="77">
        <v>88.89</v>
      </c>
      <c r="AD15" s="77">
        <v>58.21</v>
      </c>
      <c r="AE15" s="77">
        <v>69.66</v>
      </c>
      <c r="AF15" s="77">
        <v>57.4</v>
      </c>
    </row>
    <row r="16">
      <c r="A16" s="45" t="s">
        <v>239</v>
      </c>
      <c r="B16" s="77">
        <v>9.97</v>
      </c>
      <c r="C16" s="77">
        <v>7.86</v>
      </c>
      <c r="D16" s="77">
        <v>6.82</v>
      </c>
      <c r="E16" s="77">
        <v>8.42</v>
      </c>
      <c r="F16" s="77">
        <v>7.1</v>
      </c>
      <c r="G16" s="77">
        <v>8.47</v>
      </c>
      <c r="H16" s="77">
        <v>9.09</v>
      </c>
      <c r="I16" s="77">
        <v>6.88</v>
      </c>
      <c r="J16" s="77">
        <v>16.04</v>
      </c>
      <c r="K16" s="108">
        <v>4.33</v>
      </c>
      <c r="L16" s="77">
        <v>4.59</v>
      </c>
      <c r="M16" s="77">
        <v>7.93</v>
      </c>
      <c r="N16" s="77">
        <v>8.48</v>
      </c>
      <c r="O16" s="77">
        <v>7.06</v>
      </c>
      <c r="P16" s="77">
        <v>8.45</v>
      </c>
      <c r="Q16" s="77">
        <v>8.38</v>
      </c>
      <c r="R16" s="77">
        <v>12.1</v>
      </c>
      <c r="S16" s="77">
        <v>12.04</v>
      </c>
      <c r="T16" s="77">
        <v>10.02</v>
      </c>
      <c r="U16" s="77">
        <v>6.18</v>
      </c>
      <c r="V16" s="77">
        <v>4.43</v>
      </c>
      <c r="W16" s="77">
        <v>5.62</v>
      </c>
      <c r="X16" s="77">
        <v>1.55</v>
      </c>
      <c r="Y16" s="77">
        <v>8.63</v>
      </c>
      <c r="Z16" s="77">
        <v>13.425</v>
      </c>
      <c r="AA16" s="77">
        <v>10.95</v>
      </c>
      <c r="AB16" s="77">
        <v>5.34</v>
      </c>
      <c r="AC16" s="77">
        <v>3.61</v>
      </c>
      <c r="AD16" s="77">
        <v>3.49</v>
      </c>
      <c r="AE16" s="77">
        <v>6.64</v>
      </c>
      <c r="AF16" s="77">
        <v>10.14</v>
      </c>
    </row>
    <row r="17">
      <c r="A17" s="111" t="s">
        <v>240</v>
      </c>
      <c r="B17" s="112">
        <f t="shared" ref="B17:AF17" si="2">SUM(B11:B16)</f>
        <v>7592.96</v>
      </c>
      <c r="C17" s="112">
        <f t="shared" si="2"/>
        <v>6064.82</v>
      </c>
      <c r="D17" s="112">
        <f t="shared" si="2"/>
        <v>6081.58</v>
      </c>
      <c r="E17" s="112">
        <f t="shared" si="2"/>
        <v>5800.09</v>
      </c>
      <c r="F17" s="112">
        <f t="shared" si="2"/>
        <v>6932.21</v>
      </c>
      <c r="G17" s="112">
        <f t="shared" si="2"/>
        <v>5821.48</v>
      </c>
      <c r="H17" s="112">
        <f t="shared" si="2"/>
        <v>3904.26</v>
      </c>
      <c r="I17" s="112">
        <f t="shared" si="2"/>
        <v>3206.15</v>
      </c>
      <c r="J17" s="112">
        <f t="shared" si="2"/>
        <v>3728.87</v>
      </c>
      <c r="K17" s="112">
        <f t="shared" si="2"/>
        <v>3961.89</v>
      </c>
      <c r="L17" s="112">
        <f t="shared" si="2"/>
        <v>3396.81</v>
      </c>
      <c r="M17" s="112">
        <f t="shared" si="2"/>
        <v>2875.81</v>
      </c>
      <c r="N17" s="112">
        <f t="shared" si="2"/>
        <v>3021.01</v>
      </c>
      <c r="O17" s="112">
        <f t="shared" si="2"/>
        <v>2767.75</v>
      </c>
      <c r="P17" s="112">
        <f t="shared" si="2"/>
        <v>2602.34</v>
      </c>
      <c r="Q17" s="112">
        <f t="shared" si="2"/>
        <v>2596.32</v>
      </c>
      <c r="R17" s="112">
        <f t="shared" si="2"/>
        <v>2533.86</v>
      </c>
      <c r="S17" s="112">
        <f t="shared" si="2"/>
        <v>2969.61</v>
      </c>
      <c r="T17" s="112">
        <f t="shared" si="2"/>
        <v>3134.11</v>
      </c>
      <c r="U17" s="112">
        <f t="shared" si="2"/>
        <v>3006.01</v>
      </c>
      <c r="V17" s="112">
        <f t="shared" si="2"/>
        <v>2927.33</v>
      </c>
      <c r="W17" s="112">
        <f t="shared" si="2"/>
        <v>3004.3</v>
      </c>
      <c r="X17" s="112">
        <f t="shared" si="2"/>
        <v>3024.96</v>
      </c>
      <c r="Y17" s="112">
        <f t="shared" si="2"/>
        <v>3587.82</v>
      </c>
      <c r="Z17" s="112">
        <f t="shared" si="2"/>
        <v>3848.505</v>
      </c>
      <c r="AA17" s="112">
        <f t="shared" si="2"/>
        <v>3249.06</v>
      </c>
      <c r="AB17" s="112">
        <f t="shared" si="2"/>
        <v>3105.43</v>
      </c>
      <c r="AC17" s="112">
        <f t="shared" si="2"/>
        <v>2828.51</v>
      </c>
      <c r="AD17" s="112">
        <f t="shared" si="2"/>
        <v>2679.05</v>
      </c>
      <c r="AE17" s="112">
        <f t="shared" si="2"/>
        <v>1098.56</v>
      </c>
      <c r="AF17" s="112">
        <f t="shared" si="2"/>
        <v>67.54</v>
      </c>
    </row>
    <row r="19">
      <c r="A19" s="45" t="s">
        <v>242</v>
      </c>
      <c r="B19" s="116">
        <f t="shared" ref="B19:AF19" si="3">B8/B17</f>
        <v>2.562505268</v>
      </c>
      <c r="C19" s="116">
        <f t="shared" si="3"/>
        <v>2.241286633</v>
      </c>
      <c r="D19" s="116">
        <f t="shared" si="3"/>
        <v>2.116226375</v>
      </c>
      <c r="E19" s="116">
        <f t="shared" si="3"/>
        <v>2.618235234</v>
      </c>
      <c r="F19" s="116">
        <f t="shared" si="3"/>
        <v>1.387292076</v>
      </c>
      <c r="G19" s="116">
        <f t="shared" si="3"/>
        <v>2.420690271</v>
      </c>
      <c r="H19" s="116">
        <f t="shared" si="3"/>
        <v>3.101740151</v>
      </c>
      <c r="I19" s="116">
        <f t="shared" si="3"/>
        <v>3.811736818</v>
      </c>
      <c r="J19" s="116">
        <f t="shared" si="3"/>
        <v>2.573165597</v>
      </c>
      <c r="K19" s="116">
        <f t="shared" si="3"/>
        <v>2.227219837</v>
      </c>
      <c r="L19" s="117">
        <f t="shared" si="3"/>
        <v>2.64189048</v>
      </c>
      <c r="M19" s="117">
        <f t="shared" si="3"/>
        <v>3.163282693</v>
      </c>
      <c r="N19" s="117">
        <f t="shared" si="3"/>
        <v>2.371723364</v>
      </c>
      <c r="O19" s="117">
        <f t="shared" si="3"/>
        <v>2.432661909</v>
      </c>
      <c r="P19" s="117">
        <f t="shared" si="3"/>
        <v>3.869978558</v>
      </c>
      <c r="Q19" s="117">
        <f t="shared" si="3"/>
        <v>3.443720343</v>
      </c>
      <c r="R19" s="117">
        <f t="shared" si="3"/>
        <v>2.564072206</v>
      </c>
      <c r="S19" s="117">
        <f t="shared" si="3"/>
        <v>2.514808342</v>
      </c>
      <c r="T19" s="117">
        <f t="shared" si="3"/>
        <v>1.40326919</v>
      </c>
      <c r="U19" s="117">
        <f t="shared" si="3"/>
        <v>3.011633361</v>
      </c>
      <c r="V19" s="117">
        <f t="shared" si="3"/>
        <v>3.297885787</v>
      </c>
      <c r="W19" s="117">
        <f t="shared" si="3"/>
        <v>3.653430084</v>
      </c>
      <c r="X19" s="117">
        <f t="shared" si="3"/>
        <v>2.546479953</v>
      </c>
      <c r="Y19" s="117">
        <f t="shared" si="3"/>
        <v>2.064763561</v>
      </c>
      <c r="Z19" s="117">
        <f t="shared" si="3"/>
        <v>2.062099439</v>
      </c>
      <c r="AA19" s="117">
        <f t="shared" si="3"/>
        <v>2.937157209</v>
      </c>
      <c r="AB19" s="117">
        <f t="shared" si="3"/>
        <v>2.982195702</v>
      </c>
      <c r="AC19" s="117">
        <f t="shared" si="3"/>
        <v>2.841071801</v>
      </c>
      <c r="AD19" s="117">
        <f t="shared" si="3"/>
        <v>3.406431384</v>
      </c>
      <c r="AE19" s="117">
        <f t="shared" si="3"/>
        <v>6.818926595</v>
      </c>
      <c r="AF19" s="117">
        <f t="shared" si="3"/>
        <v>72.69766065</v>
      </c>
    </row>
    <row r="20">
      <c r="A20" s="45" t="s">
        <v>243</v>
      </c>
      <c r="B20" s="119">
        <f t="shared" ref="B20:AF20" si="4">B17/B9</f>
        <v>110.0428986</v>
      </c>
      <c r="C20" s="119">
        <f t="shared" si="4"/>
        <v>123.7718367</v>
      </c>
      <c r="D20" s="119">
        <f t="shared" si="4"/>
        <v>129.3953191</v>
      </c>
      <c r="E20" s="119">
        <f t="shared" si="4"/>
        <v>92.06492063</v>
      </c>
      <c r="F20" s="119">
        <f t="shared" si="4"/>
        <v>182.4265789</v>
      </c>
      <c r="G20" s="119">
        <f t="shared" si="4"/>
        <v>105.8450909</v>
      </c>
      <c r="H20" s="119">
        <f t="shared" si="4"/>
        <v>78.0852</v>
      </c>
      <c r="I20" s="119">
        <f t="shared" si="4"/>
        <v>71.24777778</v>
      </c>
      <c r="J20" s="119">
        <f t="shared" si="4"/>
        <v>90.94804878</v>
      </c>
      <c r="K20" s="119">
        <f t="shared" si="4"/>
        <v>123.8090625</v>
      </c>
      <c r="L20" s="119">
        <f t="shared" si="4"/>
        <v>94.35583333</v>
      </c>
      <c r="M20" s="119">
        <f t="shared" si="4"/>
        <v>82.166</v>
      </c>
      <c r="N20" s="119">
        <f t="shared" si="4"/>
        <v>116.1926923</v>
      </c>
      <c r="O20" s="119">
        <f t="shared" si="4"/>
        <v>110.71</v>
      </c>
      <c r="P20" s="119">
        <f t="shared" si="4"/>
        <v>74.35257143</v>
      </c>
      <c r="Q20" s="119">
        <f t="shared" si="4"/>
        <v>78.67636364</v>
      </c>
      <c r="R20" s="119">
        <f t="shared" si="4"/>
        <v>101.3544</v>
      </c>
      <c r="S20" s="119">
        <f t="shared" si="4"/>
        <v>102.4003448</v>
      </c>
      <c r="T20" s="119">
        <f t="shared" si="4"/>
        <v>184.3594118</v>
      </c>
      <c r="U20" s="119">
        <f t="shared" si="4"/>
        <v>81.24351351</v>
      </c>
      <c r="V20" s="119">
        <f t="shared" si="4"/>
        <v>83.638</v>
      </c>
      <c r="W20" s="119">
        <f t="shared" si="4"/>
        <v>77.03333333</v>
      </c>
      <c r="X20" s="119">
        <f t="shared" si="4"/>
        <v>116.3446154</v>
      </c>
      <c r="Y20" s="119">
        <f t="shared" si="4"/>
        <v>132.8822222</v>
      </c>
      <c r="Z20" s="119">
        <f t="shared" si="4"/>
        <v>128.2835</v>
      </c>
      <c r="AA20" s="119">
        <f t="shared" si="4"/>
        <v>83.30923077</v>
      </c>
      <c r="AB20" s="119">
        <f t="shared" si="4"/>
        <v>83.93054054</v>
      </c>
      <c r="AC20" s="119">
        <f t="shared" si="4"/>
        <v>97.53482759</v>
      </c>
      <c r="AD20" s="119">
        <f t="shared" si="4"/>
        <v>74.41805556</v>
      </c>
      <c r="AE20" s="119">
        <f t="shared" si="4"/>
        <v>35.43741935</v>
      </c>
      <c r="AF20" s="119">
        <f t="shared" si="4"/>
        <v>3.377</v>
      </c>
    </row>
    <row r="21">
      <c r="A21" s="45" t="s">
        <v>211</v>
      </c>
      <c r="B21" s="126">
        <v>0.0077</v>
      </c>
      <c r="C21" s="126">
        <v>0.0065</v>
      </c>
      <c r="D21" s="126">
        <v>0.0066</v>
      </c>
      <c r="E21" s="126">
        <v>0.008</v>
      </c>
      <c r="F21" s="126">
        <v>0.0029</v>
      </c>
      <c r="G21" s="126">
        <v>0.0054</v>
      </c>
      <c r="H21" s="126">
        <v>0.0088</v>
      </c>
      <c r="I21" s="126">
        <v>0.0088</v>
      </c>
      <c r="J21" s="126">
        <v>0.0055</v>
      </c>
      <c r="K21" s="126">
        <v>0.0056</v>
      </c>
      <c r="L21" s="126">
        <v>0.0067</v>
      </c>
      <c r="M21" s="126">
        <v>0.006</v>
      </c>
      <c r="N21" s="126">
        <v>0.0046</v>
      </c>
      <c r="O21" s="126">
        <v>0.0056</v>
      </c>
      <c r="P21" s="126">
        <v>0.0091</v>
      </c>
      <c r="Q21" s="126">
        <v>0.0089</v>
      </c>
      <c r="R21" s="126">
        <v>0.0073</v>
      </c>
      <c r="S21" s="126">
        <v>0.0078</v>
      </c>
      <c r="T21" s="126">
        <v>0.0033</v>
      </c>
      <c r="U21" s="126">
        <v>0.0094</v>
      </c>
      <c r="V21" s="126">
        <v>0.0107</v>
      </c>
      <c r="W21" s="126">
        <v>0.0109</v>
      </c>
      <c r="X21" s="126">
        <v>0.0069</v>
      </c>
      <c r="Y21" s="126">
        <v>0.007</v>
      </c>
      <c r="Z21" s="126">
        <v>0.0066</v>
      </c>
      <c r="AA21" s="126">
        <v>0.0095</v>
      </c>
      <c r="AB21" s="126">
        <v>0.0112</v>
      </c>
      <c r="AC21" s="126">
        <v>0.0103</v>
      </c>
      <c r="AD21" s="126">
        <v>0.012</v>
      </c>
      <c r="AE21" s="126">
        <v>0.0167</v>
      </c>
      <c r="AF21" s="126">
        <v>0.016</v>
      </c>
    </row>
    <row r="22">
      <c r="A22" s="45" t="s">
        <v>210</v>
      </c>
      <c r="B22" s="100">
        <f t="shared" ref="B22:AF22" si="5">B8/B9</f>
        <v>281.9855072</v>
      </c>
      <c r="C22" s="100">
        <f t="shared" si="5"/>
        <v>277.4081633</v>
      </c>
      <c r="D22" s="100">
        <f t="shared" si="5"/>
        <v>273.8297872</v>
      </c>
      <c r="E22" s="100">
        <f t="shared" si="5"/>
        <v>241.047619</v>
      </c>
      <c r="F22" s="100">
        <f t="shared" si="5"/>
        <v>253.0789474</v>
      </c>
      <c r="G22" s="100">
        <f t="shared" si="5"/>
        <v>256.2181818</v>
      </c>
      <c r="H22" s="100">
        <f t="shared" si="5"/>
        <v>242.2</v>
      </c>
      <c r="I22" s="100">
        <f t="shared" si="5"/>
        <v>271.5777778</v>
      </c>
      <c r="J22" s="100">
        <f t="shared" si="5"/>
        <v>234.0243902</v>
      </c>
      <c r="K22" s="100">
        <f t="shared" si="5"/>
        <v>275.75</v>
      </c>
      <c r="L22" s="100">
        <f t="shared" si="5"/>
        <v>249.2777778</v>
      </c>
      <c r="M22" s="100">
        <f t="shared" si="5"/>
        <v>259.9142857</v>
      </c>
      <c r="N22" s="100">
        <f t="shared" si="5"/>
        <v>275.5769231</v>
      </c>
      <c r="O22" s="100">
        <f t="shared" si="5"/>
        <v>269.32</v>
      </c>
      <c r="P22" s="100">
        <f t="shared" si="5"/>
        <v>287.7428571</v>
      </c>
      <c r="Q22" s="100">
        <f t="shared" si="5"/>
        <v>270.9393939</v>
      </c>
      <c r="R22" s="100">
        <f t="shared" si="5"/>
        <v>259.88</v>
      </c>
      <c r="S22" s="100">
        <f t="shared" si="5"/>
        <v>257.5172414</v>
      </c>
      <c r="T22" s="100">
        <f t="shared" si="5"/>
        <v>258.7058824</v>
      </c>
      <c r="U22" s="100">
        <f t="shared" si="5"/>
        <v>244.6756757</v>
      </c>
      <c r="V22" s="100">
        <f t="shared" si="5"/>
        <v>275.8285714</v>
      </c>
      <c r="W22" s="100">
        <f t="shared" si="5"/>
        <v>281.4358974</v>
      </c>
      <c r="X22" s="100">
        <f t="shared" si="5"/>
        <v>296.2692308</v>
      </c>
      <c r="Y22" s="100">
        <f t="shared" si="5"/>
        <v>274.3703704</v>
      </c>
      <c r="Z22" s="100">
        <f t="shared" si="5"/>
        <v>264.5333333</v>
      </c>
      <c r="AA22" s="100">
        <f t="shared" si="5"/>
        <v>244.6923077</v>
      </c>
      <c r="AB22" s="100">
        <f t="shared" si="5"/>
        <v>250.2972973</v>
      </c>
      <c r="AC22" s="100">
        <f t="shared" si="5"/>
        <v>277.1034483</v>
      </c>
      <c r="AD22" s="100">
        <f t="shared" si="5"/>
        <v>253.5</v>
      </c>
      <c r="AE22" s="100">
        <f t="shared" si="5"/>
        <v>241.6451613</v>
      </c>
      <c r="AF22" s="100">
        <f t="shared" si="5"/>
        <v>245.5</v>
      </c>
    </row>
    <row r="24">
      <c r="A24" s="45" t="s">
        <v>290</v>
      </c>
    </row>
    <row r="25">
      <c r="A25" s="22" t="s">
        <v>291</v>
      </c>
      <c r="B25" s="126">
        <v>0.6923</v>
      </c>
      <c r="C25" s="126">
        <v>0.8</v>
      </c>
      <c r="D25" s="126">
        <v>0.76</v>
      </c>
      <c r="E25" s="126">
        <v>0.7813</v>
      </c>
      <c r="F25" s="126">
        <v>0.7647</v>
      </c>
      <c r="G25" s="126">
        <v>0.6154</v>
      </c>
      <c r="H25" s="126">
        <v>0.45</v>
      </c>
      <c r="I25" s="126">
        <v>0.7368</v>
      </c>
      <c r="J25" s="126">
        <v>0.6</v>
      </c>
      <c r="K25" s="126">
        <v>0.7143</v>
      </c>
      <c r="L25" s="126">
        <v>0.5625</v>
      </c>
      <c r="M25" s="126">
        <v>0.4667</v>
      </c>
      <c r="N25" s="126">
        <v>0.6923</v>
      </c>
      <c r="O25" s="126">
        <v>0.6364</v>
      </c>
      <c r="P25" s="126">
        <v>0.5625</v>
      </c>
      <c r="Q25" s="126">
        <v>0.7143</v>
      </c>
      <c r="R25" s="126">
        <v>0.9231</v>
      </c>
      <c r="S25" s="126">
        <v>0.8125</v>
      </c>
      <c r="T25" s="126">
        <v>0.8571</v>
      </c>
      <c r="U25" s="126">
        <v>0.6111</v>
      </c>
      <c r="V25" s="126">
        <v>0.8571</v>
      </c>
      <c r="W25" s="126">
        <v>0.6429</v>
      </c>
      <c r="X25" s="126">
        <v>0.7333</v>
      </c>
      <c r="Y25" s="126">
        <v>0.7059</v>
      </c>
      <c r="Z25" s="126">
        <v>0.5263</v>
      </c>
      <c r="AA25" s="126">
        <v>0.7333</v>
      </c>
      <c r="AB25" s="126">
        <v>0.7778</v>
      </c>
      <c r="AC25" s="126">
        <v>0.6667</v>
      </c>
      <c r="AD25" s="126">
        <v>0.75</v>
      </c>
      <c r="AE25" s="126">
        <v>0.5833</v>
      </c>
      <c r="AF25" s="126">
        <v>0.4545</v>
      </c>
    </row>
    <row r="26">
      <c r="A26" s="22" t="s">
        <v>295</v>
      </c>
      <c r="B26" s="126">
        <v>0.1282</v>
      </c>
      <c r="C26" s="126">
        <v>0.15</v>
      </c>
      <c r="D26" s="126">
        <v>0.16</v>
      </c>
      <c r="E26" s="126">
        <v>0.1875</v>
      </c>
      <c r="F26" s="126">
        <v>0.0</v>
      </c>
      <c r="G26" s="126">
        <v>0.1538</v>
      </c>
      <c r="H26" s="126">
        <v>0.3</v>
      </c>
      <c r="I26" s="126">
        <v>0.2105</v>
      </c>
      <c r="J26" s="126">
        <v>0.3333</v>
      </c>
      <c r="K26" s="126">
        <v>0.2143</v>
      </c>
      <c r="L26" s="126">
        <v>0.3125</v>
      </c>
      <c r="M26" s="126">
        <v>0.4667</v>
      </c>
      <c r="N26" s="126">
        <v>0.2308</v>
      </c>
      <c r="O26" s="126">
        <v>0.1818</v>
      </c>
      <c r="P26" s="126">
        <v>0.1875</v>
      </c>
      <c r="Q26" s="126">
        <v>0.2143</v>
      </c>
      <c r="R26" s="126">
        <v>0.0</v>
      </c>
      <c r="S26" s="126">
        <v>0.125</v>
      </c>
      <c r="T26" s="126">
        <v>0.1429</v>
      </c>
      <c r="U26" s="126">
        <v>0.3333</v>
      </c>
      <c r="V26" s="126">
        <v>0.0952</v>
      </c>
      <c r="W26" s="126">
        <v>0.1786</v>
      </c>
      <c r="X26" s="126">
        <v>0.0667</v>
      </c>
      <c r="Y26" s="126">
        <v>0.1176</v>
      </c>
      <c r="Z26" s="126">
        <v>0.4211</v>
      </c>
      <c r="AA26" s="126">
        <v>0.2</v>
      </c>
      <c r="AB26" s="126">
        <v>0.0556</v>
      </c>
      <c r="AC26" s="126">
        <v>0.1905</v>
      </c>
      <c r="AD26" s="126">
        <v>0.1</v>
      </c>
      <c r="AE26" s="126">
        <v>0.25</v>
      </c>
      <c r="AF26" s="126">
        <v>0.3636</v>
      </c>
    </row>
    <row r="27">
      <c r="A27" s="22" t="s">
        <v>320</v>
      </c>
      <c r="B27" s="126">
        <v>0.1282</v>
      </c>
      <c r="C27" s="126">
        <v>0.0</v>
      </c>
      <c r="D27" s="126">
        <v>0.0</v>
      </c>
      <c r="E27" s="126">
        <v>0.0313</v>
      </c>
      <c r="F27" s="126">
        <v>0.1176</v>
      </c>
      <c r="G27" s="126">
        <v>0.0769</v>
      </c>
      <c r="H27" s="126">
        <v>0.1</v>
      </c>
      <c r="I27" s="126">
        <v>0.0526</v>
      </c>
      <c r="J27" s="126">
        <v>0.0667</v>
      </c>
      <c r="K27" s="126">
        <v>0.0</v>
      </c>
      <c r="L27" s="126">
        <v>0.0625</v>
      </c>
      <c r="M27" s="126">
        <v>0.0</v>
      </c>
      <c r="N27" s="126">
        <v>0.0</v>
      </c>
      <c r="O27" s="126">
        <v>0.0</v>
      </c>
      <c r="P27" s="126">
        <v>0.0</v>
      </c>
      <c r="Q27" s="126">
        <v>0.0</v>
      </c>
      <c r="R27" s="126">
        <v>0.0769</v>
      </c>
      <c r="S27" s="126">
        <v>0.0</v>
      </c>
      <c r="T27" s="126">
        <v>0.0</v>
      </c>
      <c r="U27" s="126">
        <v>0.0</v>
      </c>
      <c r="V27" s="126">
        <v>0.0476</v>
      </c>
      <c r="W27" s="126">
        <v>0.1071</v>
      </c>
      <c r="X27" s="126">
        <v>0.1333</v>
      </c>
      <c r="Y27" s="126">
        <v>0.0588</v>
      </c>
      <c r="Z27" s="126">
        <v>0.0</v>
      </c>
      <c r="AA27" s="126">
        <v>0.0</v>
      </c>
      <c r="AB27" s="126">
        <v>0.0556</v>
      </c>
      <c r="AC27" s="126">
        <v>0.0952</v>
      </c>
      <c r="AD27" s="126">
        <v>0.15</v>
      </c>
      <c r="AE27" s="126">
        <v>0.0</v>
      </c>
      <c r="AF27" s="126">
        <v>0.0</v>
      </c>
    </row>
    <row r="28">
      <c r="A28" s="22" t="s">
        <v>161</v>
      </c>
      <c r="B28" s="126">
        <v>0.0</v>
      </c>
      <c r="C28" s="126">
        <v>0.0</v>
      </c>
      <c r="D28" s="126">
        <v>0.04</v>
      </c>
      <c r="E28" s="126">
        <v>0.0</v>
      </c>
      <c r="F28" s="126">
        <v>0.0</v>
      </c>
      <c r="G28" s="126">
        <v>0.0</v>
      </c>
      <c r="H28" s="126">
        <v>0.05</v>
      </c>
      <c r="I28" s="126">
        <v>0.0</v>
      </c>
      <c r="J28" s="126">
        <v>0.0</v>
      </c>
      <c r="K28" s="126">
        <v>0.0</v>
      </c>
      <c r="L28" s="126">
        <v>0.0</v>
      </c>
      <c r="M28" s="126">
        <v>0.0</v>
      </c>
      <c r="N28" s="126">
        <v>0.0</v>
      </c>
      <c r="O28" s="126">
        <v>0.0</v>
      </c>
      <c r="P28" s="126">
        <v>0.0</v>
      </c>
      <c r="Q28" s="126">
        <v>0.0</v>
      </c>
      <c r="R28" s="126">
        <v>0.0</v>
      </c>
      <c r="S28" s="126">
        <v>0.0</v>
      </c>
      <c r="T28" s="126">
        <v>0.0</v>
      </c>
      <c r="U28" s="126">
        <v>0.0</v>
      </c>
      <c r="V28" s="126">
        <v>0.0</v>
      </c>
      <c r="W28" s="126">
        <v>0.0</v>
      </c>
      <c r="X28" s="126">
        <v>0.0</v>
      </c>
      <c r="Y28" s="126">
        <v>0.0</v>
      </c>
      <c r="Z28" s="126">
        <v>0.0</v>
      </c>
      <c r="AA28" s="126">
        <v>0.0</v>
      </c>
      <c r="AB28" s="126">
        <v>0.0</v>
      </c>
      <c r="AC28" s="126">
        <v>0.0476</v>
      </c>
      <c r="AD28" s="126">
        <v>0.0</v>
      </c>
      <c r="AE28" s="126">
        <v>0.0</v>
      </c>
      <c r="AF28" s="126">
        <v>0.0</v>
      </c>
    </row>
    <row r="29">
      <c r="A29" s="22" t="s">
        <v>182</v>
      </c>
      <c r="B29" s="126">
        <v>0.0</v>
      </c>
      <c r="C29" s="126">
        <v>0.0</v>
      </c>
      <c r="D29" s="126">
        <v>0.0</v>
      </c>
      <c r="E29" s="126">
        <v>0.0</v>
      </c>
      <c r="F29" s="126">
        <v>0.0</v>
      </c>
      <c r="G29" s="126">
        <v>0.0</v>
      </c>
      <c r="H29" s="126">
        <v>0.0</v>
      </c>
      <c r="I29" s="126">
        <v>0.0</v>
      </c>
      <c r="J29" s="126">
        <v>0.0</v>
      </c>
      <c r="K29" s="126">
        <v>0.0714</v>
      </c>
      <c r="L29" s="126">
        <v>0.0</v>
      </c>
      <c r="M29" s="126">
        <v>0.0667</v>
      </c>
      <c r="N29" s="126">
        <v>0.0</v>
      </c>
      <c r="O29" s="126">
        <v>0.1818</v>
      </c>
      <c r="P29" s="126">
        <v>0.1875</v>
      </c>
      <c r="Q29" s="126">
        <v>0.0714</v>
      </c>
      <c r="R29" s="126">
        <v>0.0</v>
      </c>
      <c r="S29" s="126">
        <v>0.0625</v>
      </c>
      <c r="T29" s="126">
        <v>0.0</v>
      </c>
      <c r="U29" s="126">
        <v>0.0</v>
      </c>
      <c r="V29" s="126">
        <v>0.0</v>
      </c>
      <c r="W29" s="126">
        <v>0.0</v>
      </c>
      <c r="X29" s="126">
        <v>0.0</v>
      </c>
      <c r="Y29" s="126">
        <v>0.0</v>
      </c>
      <c r="Z29" s="126">
        <v>0.0</v>
      </c>
      <c r="AA29" s="126">
        <v>0.0</v>
      </c>
      <c r="AB29" s="126">
        <v>0.0</v>
      </c>
      <c r="AC29" s="126">
        <v>0.0</v>
      </c>
      <c r="AD29" s="126">
        <v>0.0</v>
      </c>
      <c r="AE29" s="126">
        <v>0.0</v>
      </c>
      <c r="AF29" s="126">
        <v>0.0</v>
      </c>
    </row>
    <row r="30">
      <c r="A30" s="22" t="s">
        <v>344</v>
      </c>
      <c r="B30" s="126">
        <v>0.0</v>
      </c>
      <c r="C30" s="126">
        <v>0.0</v>
      </c>
      <c r="D30" s="126">
        <v>0.0</v>
      </c>
      <c r="E30" s="126">
        <v>0.0</v>
      </c>
      <c r="F30" s="126">
        <v>0.0588</v>
      </c>
      <c r="G30" s="126">
        <v>0.0769</v>
      </c>
      <c r="H30" s="126">
        <v>0.05</v>
      </c>
      <c r="I30" s="126">
        <v>0.0</v>
      </c>
      <c r="J30" s="126">
        <v>0.0</v>
      </c>
      <c r="K30" s="126">
        <v>0.0</v>
      </c>
      <c r="L30" s="126">
        <v>0.0</v>
      </c>
      <c r="M30" s="126">
        <v>0.0</v>
      </c>
      <c r="N30" s="126">
        <v>0.0</v>
      </c>
      <c r="O30" s="126">
        <v>0.0</v>
      </c>
      <c r="P30" s="126">
        <v>0.0</v>
      </c>
      <c r="Q30" s="126">
        <v>0.0</v>
      </c>
      <c r="R30" s="126">
        <v>0.0</v>
      </c>
      <c r="S30" s="126">
        <v>0.0</v>
      </c>
      <c r="T30" s="126">
        <v>0.0</v>
      </c>
      <c r="U30" s="126">
        <v>0.0</v>
      </c>
      <c r="V30" s="126">
        <v>0.0</v>
      </c>
      <c r="W30" s="126">
        <v>0.0357</v>
      </c>
      <c r="X30" s="126">
        <v>0.0667</v>
      </c>
      <c r="Y30" s="126">
        <v>0.0</v>
      </c>
      <c r="Z30" s="126">
        <v>0.0</v>
      </c>
      <c r="AA30" s="126">
        <v>0.0</v>
      </c>
      <c r="AB30" s="126">
        <v>0.0556</v>
      </c>
      <c r="AC30" s="126">
        <v>0.0</v>
      </c>
      <c r="AD30" s="126">
        <v>0.0</v>
      </c>
      <c r="AE30" s="126">
        <v>0.0833</v>
      </c>
      <c r="AF30" s="126">
        <v>0.0909</v>
      </c>
    </row>
    <row r="31">
      <c r="A31" s="22" t="s">
        <v>352</v>
      </c>
      <c r="B31" s="126">
        <v>0.0513</v>
      </c>
      <c r="C31" s="126">
        <v>0.05</v>
      </c>
      <c r="D31" s="126">
        <v>0.04</v>
      </c>
      <c r="E31" s="126">
        <v>0.0</v>
      </c>
      <c r="F31" s="126">
        <v>0.0588</v>
      </c>
      <c r="G31" s="126">
        <v>0.0769</v>
      </c>
      <c r="H31" s="126">
        <v>0.05</v>
      </c>
      <c r="I31" s="126">
        <v>0.0</v>
      </c>
      <c r="J31" s="126">
        <v>0.0</v>
      </c>
      <c r="K31" s="126">
        <v>0.0</v>
      </c>
      <c r="L31" s="126">
        <v>0.0625</v>
      </c>
      <c r="M31" s="126">
        <v>0.0</v>
      </c>
      <c r="N31" s="126">
        <v>0.0769</v>
      </c>
      <c r="O31" s="126">
        <v>0.0</v>
      </c>
      <c r="P31" s="126">
        <v>0.0625</v>
      </c>
      <c r="Q31" s="126">
        <v>0.0</v>
      </c>
      <c r="R31" s="126">
        <v>0.0</v>
      </c>
      <c r="S31" s="126">
        <v>0.0</v>
      </c>
      <c r="T31" s="126">
        <v>0.0</v>
      </c>
      <c r="U31" s="126">
        <v>0.0556</v>
      </c>
      <c r="V31" s="126">
        <v>0.0</v>
      </c>
      <c r="W31" s="126">
        <v>0.0357</v>
      </c>
      <c r="X31" s="126">
        <v>0.0</v>
      </c>
      <c r="Y31" s="126">
        <v>0.1176</v>
      </c>
      <c r="Z31" s="126">
        <v>0.0526</v>
      </c>
      <c r="AA31" s="126">
        <v>0.0667</v>
      </c>
      <c r="AB31" s="126">
        <v>0.0556</v>
      </c>
      <c r="AC31" s="126">
        <v>0.0</v>
      </c>
      <c r="AD31" s="126">
        <v>0.0</v>
      </c>
      <c r="AE31" s="126">
        <v>0.0833</v>
      </c>
      <c r="AF31" s="126">
        <v>0.0909</v>
      </c>
    </row>
    <row r="33">
      <c r="B33" s="139">
        <v>44409.0</v>
      </c>
    </row>
    <row r="34">
      <c r="A34" s="22" t="s">
        <v>355</v>
      </c>
      <c r="B34" s="119">
        <f>SUM(B8:AF8)</f>
        <v>298006</v>
      </c>
    </row>
    <row r="35">
      <c r="A35" s="22" t="s">
        <v>356</v>
      </c>
      <c r="B35" s="119">
        <f>SUM(B17:AF17)</f>
        <v>111419.005</v>
      </c>
    </row>
    <row r="36">
      <c r="A36" s="22" t="s">
        <v>242</v>
      </c>
      <c r="B36" s="117">
        <f>B34/B35</f>
        <v>2.674642445</v>
      </c>
    </row>
    <row r="37">
      <c r="A37" s="22" t="s">
        <v>243</v>
      </c>
      <c r="B37" s="119">
        <f>SUM(B17:AF17)/SUM(B9:AF9)</f>
        <v>98.08011004</v>
      </c>
    </row>
    <row r="38">
      <c r="A38" s="22" t="s">
        <v>211</v>
      </c>
      <c r="B38" s="47">
        <f t="shared" ref="B38:B39" si="6">AVERAGE(B21:AF21)</f>
        <v>0.008138709677</v>
      </c>
    </row>
    <row r="39">
      <c r="A39" s="22" t="s">
        <v>210</v>
      </c>
      <c r="B39" s="119">
        <f t="shared" si="6"/>
        <v>262.7692267</v>
      </c>
    </row>
    <row r="40">
      <c r="A40" s="22" t="s">
        <v>212</v>
      </c>
      <c r="B40" s="26">
        <f>SUM(B9:AF9)</f>
        <v>1136</v>
      </c>
    </row>
    <row r="73">
      <c r="C73" s="119"/>
    </row>
    <row r="74">
      <c r="C74" s="119"/>
    </row>
    <row r="75">
      <c r="C75" s="119"/>
    </row>
    <row r="76">
      <c r="C76" s="119"/>
    </row>
    <row r="77">
      <c r="C77" s="119"/>
    </row>
    <row r="78">
      <c r="C78" s="119"/>
    </row>
    <row r="79">
      <c r="C79" s="119"/>
    </row>
    <row r="80">
      <c r="C80" s="119"/>
    </row>
    <row r="81">
      <c r="C81" s="119"/>
    </row>
    <row r="82">
      <c r="C82" s="119"/>
    </row>
    <row r="83">
      <c r="C83" s="119"/>
    </row>
    <row r="84">
      <c r="C84" s="119"/>
    </row>
    <row r="85">
      <c r="C85" s="119"/>
    </row>
    <row r="86">
      <c r="C86" s="119"/>
    </row>
    <row r="87">
      <c r="C87" s="119"/>
    </row>
    <row r="88">
      <c r="C88" s="119"/>
    </row>
    <row r="89">
      <c r="C89" s="119"/>
    </row>
    <row r="90">
      <c r="C90" s="119"/>
    </row>
    <row r="91">
      <c r="C91" s="119"/>
    </row>
    <row r="92">
      <c r="C92" s="119"/>
    </row>
    <row r="93">
      <c r="C93" s="119"/>
    </row>
    <row r="94">
      <c r="C94" s="119"/>
    </row>
    <row r="95">
      <c r="C95" s="119"/>
    </row>
    <row r="96">
      <c r="C96" s="119"/>
    </row>
    <row r="97">
      <c r="C97" s="119"/>
    </row>
    <row r="98">
      <c r="C98" s="119"/>
    </row>
    <row r="99">
      <c r="C99" s="119"/>
    </row>
    <row r="100">
      <c r="C100" s="119"/>
    </row>
    <row r="101">
      <c r="C101" s="119"/>
    </row>
    <row r="102">
      <c r="C102" s="119"/>
    </row>
    <row r="103">
      <c r="C103" s="119"/>
    </row>
    <row r="104">
      <c r="C104" s="119"/>
    </row>
    <row r="105">
      <c r="C105" s="119"/>
    </row>
    <row r="106">
      <c r="C106" s="119"/>
    </row>
    <row r="107">
      <c r="C107" s="119"/>
    </row>
    <row r="108">
      <c r="C108" s="119"/>
    </row>
    <row r="109">
      <c r="C109" s="119"/>
    </row>
    <row r="110">
      <c r="C110" s="119"/>
    </row>
    <row r="111">
      <c r="C111" s="119"/>
    </row>
    <row r="112">
      <c r="C112" s="119"/>
    </row>
    <row r="113">
      <c r="C113" s="119"/>
    </row>
    <row r="114">
      <c r="C114" s="119"/>
    </row>
    <row r="115">
      <c r="C115" s="119"/>
    </row>
    <row r="116">
      <c r="C116" s="119"/>
    </row>
    <row r="117">
      <c r="C117" s="119"/>
    </row>
    <row r="118">
      <c r="C118" s="119"/>
    </row>
    <row r="119">
      <c r="C119" s="119"/>
    </row>
    <row r="120">
      <c r="C120" s="119"/>
    </row>
    <row r="121">
      <c r="C121" s="119"/>
    </row>
    <row r="122">
      <c r="C122" s="119"/>
    </row>
    <row r="123">
      <c r="C123" s="119"/>
    </row>
    <row r="124">
      <c r="C124" s="119"/>
    </row>
    <row r="125">
      <c r="C125" s="119"/>
    </row>
    <row r="126">
      <c r="C126" s="119"/>
    </row>
    <row r="127">
      <c r="C127" s="119"/>
    </row>
    <row r="128">
      <c r="C128" s="119"/>
    </row>
    <row r="129">
      <c r="C129" s="119"/>
    </row>
    <row r="130">
      <c r="C130" s="119"/>
    </row>
    <row r="131">
      <c r="C131" s="119"/>
    </row>
    <row r="132">
      <c r="C132" s="119"/>
    </row>
    <row r="133">
      <c r="C133" s="119"/>
    </row>
  </sheetData>
  <mergeCells count="8">
    <mergeCell ref="B33:C33"/>
    <mergeCell ref="B34:C34"/>
    <mergeCell ref="B35:C35"/>
    <mergeCell ref="B36:C36"/>
    <mergeCell ref="B37:C37"/>
    <mergeCell ref="B38:C38"/>
    <mergeCell ref="B39:C39"/>
    <mergeCell ref="B40:C40"/>
  </mergeCells>
  <conditionalFormatting sqref="B19:AF19">
    <cfRule type="colorScale" priority="1">
      <colorScale>
        <cfvo type="min"/>
        <cfvo type="max"/>
        <color rgb="FFFFFFFF"/>
        <color rgb="FF57BB8A"/>
      </colorScale>
    </cfRule>
  </conditionalFormatting>
  <conditionalFormatting sqref="A20:AF20">
    <cfRule type="colorScale" priority="2">
      <colorScale>
        <cfvo type="min"/>
        <cfvo type="max"/>
        <color rgb="FF57BB8A"/>
        <color rgb="FFFFFFFF"/>
      </colorScale>
    </cfRule>
  </conditionalFormatting>
  <conditionalFormatting sqref="A21:AF21">
    <cfRule type="colorScale" priority="3">
      <colorScale>
        <cfvo type="min"/>
        <cfvo type="max"/>
        <color rgb="FFFFFFFF"/>
        <color rgb="FF57BB8A"/>
      </colorScale>
    </cfRule>
  </conditionalFormatting>
  <conditionalFormatting sqref="A22:AF22">
    <cfRule type="colorScale" priority="4">
      <colorScale>
        <cfvo type="min"/>
        <cfvo type="max"/>
        <color rgb="FFFFFFFF"/>
        <color rgb="FF57BB8A"/>
      </colorScale>
    </cfRule>
  </conditionalFormatting>
  <conditionalFormatting sqref="A9:AF9">
    <cfRule type="colorScale" priority="5">
      <colorScale>
        <cfvo type="min"/>
        <cfvo type="max"/>
        <color rgb="FFFFFFFF"/>
        <color rgb="FF57BB8A"/>
      </colorScale>
    </cfRule>
  </conditionalFormatting>
  <conditionalFormatting sqref="B25:AF31">
    <cfRule type="colorScale" priority="6">
      <colorScale>
        <cfvo type="min"/>
        <cfvo type="max"/>
        <color rgb="FFFFFFFF"/>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32" width="10.13"/>
  </cols>
  <sheetData>
    <row r="1">
      <c r="B1" s="1">
        <v>44409.0</v>
      </c>
      <c r="C1" s="1">
        <v>44410.0</v>
      </c>
      <c r="D1" s="1">
        <v>44411.0</v>
      </c>
      <c r="E1" s="1">
        <v>44412.0</v>
      </c>
      <c r="F1" s="1">
        <v>44413.0</v>
      </c>
      <c r="G1" s="1">
        <v>44414.0</v>
      </c>
      <c r="H1" s="1">
        <v>44415.0</v>
      </c>
      <c r="I1" s="1">
        <v>44416.0</v>
      </c>
      <c r="J1" s="1">
        <v>44417.0</v>
      </c>
      <c r="K1" s="1">
        <v>44418.0</v>
      </c>
      <c r="L1" s="1">
        <v>44419.0</v>
      </c>
      <c r="M1" s="1">
        <v>44420.0</v>
      </c>
      <c r="N1" s="1">
        <v>44421.0</v>
      </c>
      <c r="O1" s="1">
        <v>44422.0</v>
      </c>
      <c r="P1" s="1">
        <v>44423.0</v>
      </c>
      <c r="Q1" s="1">
        <v>44424.0</v>
      </c>
      <c r="R1" s="1">
        <v>44425.0</v>
      </c>
      <c r="S1" s="1">
        <v>44426.0</v>
      </c>
      <c r="T1" s="1">
        <v>44427.0</v>
      </c>
      <c r="U1" s="1">
        <v>44428.0</v>
      </c>
      <c r="V1" s="1">
        <v>44429.0</v>
      </c>
      <c r="W1" s="1">
        <v>44430.0</v>
      </c>
      <c r="X1" s="1">
        <v>44431.0</v>
      </c>
      <c r="Y1" s="1">
        <v>44432.0</v>
      </c>
      <c r="Z1" s="1">
        <v>44433.0</v>
      </c>
      <c r="AA1" s="1">
        <v>44434.0</v>
      </c>
      <c r="AB1" s="1">
        <v>44435.0</v>
      </c>
      <c r="AC1" s="1">
        <v>44436.0</v>
      </c>
      <c r="AD1" s="1">
        <v>44437.0</v>
      </c>
      <c r="AE1" s="1">
        <v>44438.0</v>
      </c>
      <c r="AF1" s="1">
        <v>44439.0</v>
      </c>
    </row>
    <row r="2">
      <c r="B2" s="13" t="s">
        <v>14</v>
      </c>
      <c r="C2" s="13" t="s">
        <v>18</v>
      </c>
      <c r="D2" s="13" t="s">
        <v>19</v>
      </c>
      <c r="E2" s="13" t="s">
        <v>20</v>
      </c>
      <c r="F2" s="13" t="s">
        <v>22</v>
      </c>
      <c r="G2" s="13" t="s">
        <v>24</v>
      </c>
      <c r="H2" s="13" t="s">
        <v>25</v>
      </c>
      <c r="I2" s="13" t="s">
        <v>14</v>
      </c>
      <c r="J2" s="13" t="s">
        <v>14</v>
      </c>
      <c r="K2" s="13" t="s">
        <v>18</v>
      </c>
      <c r="L2" s="13" t="s">
        <v>19</v>
      </c>
      <c r="M2" s="13" t="s">
        <v>20</v>
      </c>
      <c r="N2" s="13" t="s">
        <v>22</v>
      </c>
      <c r="O2" s="13" t="s">
        <v>24</v>
      </c>
      <c r="P2" s="13" t="s">
        <v>25</v>
      </c>
      <c r="Q2" s="13" t="s">
        <v>14</v>
      </c>
      <c r="R2" s="13" t="s">
        <v>14</v>
      </c>
      <c r="S2" s="13" t="s">
        <v>18</v>
      </c>
      <c r="T2" s="13" t="s">
        <v>19</v>
      </c>
      <c r="U2" s="13" t="s">
        <v>20</v>
      </c>
      <c r="V2" s="13" t="s">
        <v>22</v>
      </c>
      <c r="W2" s="13" t="s">
        <v>24</v>
      </c>
      <c r="X2" s="13" t="s">
        <v>25</v>
      </c>
      <c r="Y2" s="13" t="s">
        <v>14</v>
      </c>
      <c r="Z2" s="19" t="s">
        <v>14</v>
      </c>
      <c r="AA2" s="19" t="s">
        <v>18</v>
      </c>
      <c r="AB2" s="19" t="s">
        <v>19</v>
      </c>
      <c r="AC2" s="19" t="s">
        <v>20</v>
      </c>
      <c r="AD2" s="19" t="s">
        <v>22</v>
      </c>
      <c r="AE2" s="19" t="s">
        <v>24</v>
      </c>
      <c r="AF2" s="19" t="s">
        <v>25</v>
      </c>
    </row>
    <row r="3">
      <c r="A3" s="20" t="s">
        <v>35</v>
      </c>
      <c r="B3" s="22">
        <v>33.0</v>
      </c>
      <c r="C3" s="22">
        <v>24.0</v>
      </c>
      <c r="D3" s="22">
        <v>23.0</v>
      </c>
      <c r="E3" s="22">
        <v>29.0</v>
      </c>
      <c r="F3" s="22">
        <v>19.0</v>
      </c>
      <c r="G3" s="22">
        <v>17.0</v>
      </c>
      <c r="H3" s="22">
        <v>17.0</v>
      </c>
      <c r="I3" s="22">
        <v>14.0</v>
      </c>
      <c r="J3" s="22">
        <v>13.0</v>
      </c>
      <c r="K3" s="22">
        <v>10.0</v>
      </c>
      <c r="L3" s="22">
        <v>3.0</v>
      </c>
      <c r="M3" s="22">
        <v>6.0</v>
      </c>
      <c r="N3" s="22">
        <v>10.0</v>
      </c>
      <c r="O3" s="22">
        <v>8.0</v>
      </c>
      <c r="P3" s="22">
        <v>11.0</v>
      </c>
      <c r="Q3" s="22">
        <v>9.0</v>
      </c>
      <c r="R3" s="22">
        <v>5.0</v>
      </c>
      <c r="S3" s="22">
        <v>7.0</v>
      </c>
      <c r="T3" s="22">
        <v>4.0</v>
      </c>
      <c r="U3" s="22">
        <v>11.0</v>
      </c>
      <c r="V3" s="22">
        <v>11.0</v>
      </c>
      <c r="W3" s="22">
        <v>15.0</v>
      </c>
      <c r="X3" s="22">
        <v>10.0</v>
      </c>
      <c r="Y3" s="22">
        <v>5.0</v>
      </c>
      <c r="Z3" s="22">
        <v>15.0</v>
      </c>
      <c r="AA3" s="22">
        <v>13.0</v>
      </c>
      <c r="AB3" s="22">
        <v>10.0</v>
      </c>
      <c r="AC3" s="22">
        <v>14.0</v>
      </c>
      <c r="AD3" s="22">
        <v>10.0</v>
      </c>
      <c r="AE3" s="22">
        <v>2.0</v>
      </c>
      <c r="AF3" s="22">
        <v>7.0</v>
      </c>
    </row>
    <row r="4">
      <c r="A4" s="20" t="s">
        <v>40</v>
      </c>
      <c r="B4" s="26">
        <f>Sales!B9</f>
        <v>69</v>
      </c>
      <c r="C4" s="26">
        <f>Sales!C9</f>
        <v>49</v>
      </c>
      <c r="D4" s="26">
        <f>Sales!D9</f>
        <v>47</v>
      </c>
      <c r="E4" s="26">
        <f>Sales!E9</f>
        <v>63</v>
      </c>
      <c r="F4" s="26">
        <f>Sales!F9</f>
        <v>38</v>
      </c>
      <c r="G4" s="26">
        <f>Sales!G9</f>
        <v>55</v>
      </c>
      <c r="H4" s="26">
        <f>Sales!H9</f>
        <v>50</v>
      </c>
      <c r="I4" s="26">
        <f>Sales!I9</f>
        <v>45</v>
      </c>
      <c r="J4" s="26">
        <f>Sales!J9</f>
        <v>41</v>
      </c>
      <c r="K4" s="26">
        <f>Sales!K9</f>
        <v>32</v>
      </c>
      <c r="L4" s="26">
        <f>Sales!L9</f>
        <v>36</v>
      </c>
      <c r="M4" s="26">
        <f>Sales!M9</f>
        <v>35</v>
      </c>
      <c r="N4" s="26">
        <f>Sales!N9</f>
        <v>26</v>
      </c>
      <c r="O4" s="26">
        <f>Sales!O9</f>
        <v>25</v>
      </c>
      <c r="P4" s="26">
        <f>Sales!P9</f>
        <v>35</v>
      </c>
      <c r="Q4" s="26">
        <f>Sales!Q9</f>
        <v>33</v>
      </c>
      <c r="R4" s="26">
        <f>Sales!R9</f>
        <v>25</v>
      </c>
      <c r="S4" s="26">
        <f>Sales!S9</f>
        <v>29</v>
      </c>
      <c r="T4" s="26">
        <f>Sales!T9</f>
        <v>17</v>
      </c>
      <c r="U4" s="26">
        <f>Sales!U9</f>
        <v>37</v>
      </c>
      <c r="V4" s="26">
        <f>Sales!V9</f>
        <v>35</v>
      </c>
      <c r="W4" s="26">
        <f>Sales!W9</f>
        <v>39</v>
      </c>
      <c r="X4" s="26">
        <f>Sales!X9</f>
        <v>26</v>
      </c>
      <c r="Y4" s="26">
        <f>Sales!Y9</f>
        <v>27</v>
      </c>
      <c r="Z4" s="26">
        <f>Sales!Z9</f>
        <v>30</v>
      </c>
      <c r="AA4" s="26">
        <f>Sales!AA9</f>
        <v>39</v>
      </c>
      <c r="AB4" s="26">
        <f>Sales!AB9</f>
        <v>37</v>
      </c>
      <c r="AC4" s="26">
        <f>Sales!AC9</f>
        <v>29</v>
      </c>
      <c r="AD4" s="26">
        <f>Sales!AD9</f>
        <v>36</v>
      </c>
      <c r="AE4" s="26">
        <f>Sales!AE9</f>
        <v>31</v>
      </c>
      <c r="AF4" s="26">
        <f>Sales!AF9</f>
        <v>20</v>
      </c>
    </row>
    <row r="5">
      <c r="A5" s="22" t="s">
        <v>75</v>
      </c>
      <c r="B5" s="40">
        <f t="shared" ref="B5:AF5" si="1">B3/B4</f>
        <v>0.4782608696</v>
      </c>
      <c r="C5" s="40">
        <f t="shared" si="1"/>
        <v>0.4897959184</v>
      </c>
      <c r="D5" s="40">
        <f t="shared" si="1"/>
        <v>0.4893617021</v>
      </c>
      <c r="E5" s="40">
        <f t="shared" si="1"/>
        <v>0.4603174603</v>
      </c>
      <c r="F5" s="40">
        <f t="shared" si="1"/>
        <v>0.5</v>
      </c>
      <c r="G5" s="40">
        <f t="shared" si="1"/>
        <v>0.3090909091</v>
      </c>
      <c r="H5" s="40">
        <f t="shared" si="1"/>
        <v>0.34</v>
      </c>
      <c r="I5" s="40">
        <f t="shared" si="1"/>
        <v>0.3111111111</v>
      </c>
      <c r="J5" s="40">
        <f t="shared" si="1"/>
        <v>0.3170731707</v>
      </c>
      <c r="K5" s="40">
        <f t="shared" si="1"/>
        <v>0.3125</v>
      </c>
      <c r="L5" s="40">
        <f t="shared" si="1"/>
        <v>0.08333333333</v>
      </c>
      <c r="M5" s="40">
        <f t="shared" si="1"/>
        <v>0.1714285714</v>
      </c>
      <c r="N5" s="40">
        <f t="shared" si="1"/>
        <v>0.3846153846</v>
      </c>
      <c r="O5" s="40">
        <f t="shared" si="1"/>
        <v>0.32</v>
      </c>
      <c r="P5" s="40">
        <f t="shared" si="1"/>
        <v>0.3142857143</v>
      </c>
      <c r="Q5" s="40">
        <f t="shared" si="1"/>
        <v>0.2727272727</v>
      </c>
      <c r="R5" s="40">
        <f t="shared" si="1"/>
        <v>0.2</v>
      </c>
      <c r="S5" s="40">
        <f t="shared" si="1"/>
        <v>0.2413793103</v>
      </c>
      <c r="T5" s="40">
        <f t="shared" si="1"/>
        <v>0.2352941176</v>
      </c>
      <c r="U5" s="40">
        <f t="shared" si="1"/>
        <v>0.2972972973</v>
      </c>
      <c r="V5" s="40">
        <f t="shared" si="1"/>
        <v>0.3142857143</v>
      </c>
      <c r="W5" s="40">
        <f t="shared" si="1"/>
        <v>0.3846153846</v>
      </c>
      <c r="X5" s="40">
        <f t="shared" si="1"/>
        <v>0.3846153846</v>
      </c>
      <c r="Y5" s="40">
        <f t="shared" si="1"/>
        <v>0.1851851852</v>
      </c>
      <c r="Z5" s="40">
        <f t="shared" si="1"/>
        <v>0.5</v>
      </c>
      <c r="AA5" s="40">
        <f t="shared" si="1"/>
        <v>0.3333333333</v>
      </c>
      <c r="AB5" s="40">
        <f t="shared" si="1"/>
        <v>0.2702702703</v>
      </c>
      <c r="AC5" s="40">
        <f t="shared" si="1"/>
        <v>0.4827586207</v>
      </c>
      <c r="AD5" s="40">
        <f t="shared" si="1"/>
        <v>0.2777777778</v>
      </c>
      <c r="AE5" s="40">
        <f t="shared" si="1"/>
        <v>0.06451612903</v>
      </c>
      <c r="AF5" s="40">
        <f t="shared" si="1"/>
        <v>0.35</v>
      </c>
    </row>
    <row r="6">
      <c r="B6" s="43"/>
      <c r="C6" s="43"/>
      <c r="D6" s="43"/>
      <c r="E6" s="43"/>
      <c r="F6" s="43"/>
      <c r="G6" s="43"/>
      <c r="H6" s="43"/>
      <c r="I6" s="43"/>
      <c r="J6" s="43"/>
      <c r="K6" s="43"/>
      <c r="L6" s="43"/>
      <c r="M6" s="43"/>
      <c r="N6" s="43"/>
    </row>
    <row r="7">
      <c r="A7" s="44" t="s">
        <v>108</v>
      </c>
    </row>
    <row r="9">
      <c r="A9" s="45" t="s">
        <v>110</v>
      </c>
    </row>
    <row r="11">
      <c r="A11" s="22" t="s">
        <v>114</v>
      </c>
      <c r="B11" s="22">
        <v>20.0</v>
      </c>
      <c r="C11" s="22">
        <v>16.0</v>
      </c>
      <c r="D11" s="22">
        <v>12.0</v>
      </c>
      <c r="E11" s="22">
        <v>13.0</v>
      </c>
      <c r="F11" s="22">
        <v>12.0</v>
      </c>
      <c r="G11" s="22">
        <v>11.0</v>
      </c>
      <c r="H11" s="22">
        <v>2.0</v>
      </c>
      <c r="I11" s="22">
        <v>8.0</v>
      </c>
      <c r="J11" s="22">
        <v>9.0</v>
      </c>
      <c r="K11" s="22">
        <v>8.0</v>
      </c>
      <c r="L11" s="22">
        <v>2.0</v>
      </c>
      <c r="M11" s="22">
        <v>3.0</v>
      </c>
      <c r="N11" s="22">
        <v>7.0</v>
      </c>
      <c r="O11" s="22">
        <v>7.0</v>
      </c>
      <c r="P11" s="22">
        <v>9.0</v>
      </c>
      <c r="Q11" s="22">
        <v>6.0</v>
      </c>
      <c r="R11" s="22">
        <v>4.0</v>
      </c>
      <c r="S11" s="22">
        <v>5.0</v>
      </c>
      <c r="T11" s="22">
        <v>3.0</v>
      </c>
      <c r="U11" s="22">
        <v>4.0</v>
      </c>
      <c r="V11" s="22">
        <v>10.0</v>
      </c>
      <c r="W11" s="22">
        <v>12.0</v>
      </c>
      <c r="X11" s="22">
        <v>9.0</v>
      </c>
      <c r="Y11" s="22">
        <v>5.0</v>
      </c>
      <c r="Z11" s="22">
        <v>13.0</v>
      </c>
      <c r="AA11" s="22">
        <v>7.0</v>
      </c>
      <c r="AB11" s="22">
        <v>7.0</v>
      </c>
      <c r="AC11" s="22">
        <v>12.0</v>
      </c>
      <c r="AD11" s="22">
        <v>6.0</v>
      </c>
      <c r="AE11" s="22">
        <v>1.0</v>
      </c>
      <c r="AF11" s="22">
        <v>0.0</v>
      </c>
    </row>
    <row r="13">
      <c r="A13" s="22" t="s">
        <v>129</v>
      </c>
      <c r="B13" s="22">
        <v>24.0</v>
      </c>
      <c r="C13" s="22">
        <v>10.0</v>
      </c>
      <c r="D13" s="22">
        <v>15.0</v>
      </c>
      <c r="E13" s="22">
        <v>13.0</v>
      </c>
      <c r="F13" s="22">
        <v>10.0</v>
      </c>
      <c r="G13" s="22">
        <v>8.0</v>
      </c>
      <c r="H13" s="22">
        <v>5.0</v>
      </c>
      <c r="I13" s="22">
        <v>5.0</v>
      </c>
      <c r="J13" s="22">
        <v>5.0</v>
      </c>
      <c r="K13" s="22">
        <v>2.0</v>
      </c>
      <c r="L13" s="22">
        <v>5.0</v>
      </c>
      <c r="M13" s="22">
        <v>4.0</v>
      </c>
      <c r="N13" s="22">
        <v>5.0</v>
      </c>
      <c r="O13" s="22">
        <v>4.0</v>
      </c>
      <c r="P13" s="22">
        <v>7.0</v>
      </c>
      <c r="Q13" s="22">
        <v>4.0</v>
      </c>
      <c r="R13" s="22">
        <v>5.0</v>
      </c>
      <c r="S13" s="22">
        <v>6.0</v>
      </c>
      <c r="T13" s="22">
        <v>3.0</v>
      </c>
      <c r="U13" s="22">
        <v>7.0</v>
      </c>
      <c r="V13" s="22">
        <v>10.0</v>
      </c>
      <c r="W13" s="22">
        <v>10.0</v>
      </c>
      <c r="X13" s="22">
        <v>9.0</v>
      </c>
      <c r="Y13" s="22">
        <v>6.0</v>
      </c>
      <c r="Z13" s="22">
        <v>8.0</v>
      </c>
      <c r="AA13" s="22">
        <v>9.0</v>
      </c>
      <c r="AB13" s="22">
        <v>7.0</v>
      </c>
      <c r="AC13" s="22">
        <v>6.0</v>
      </c>
      <c r="AD13" s="22">
        <v>4.0</v>
      </c>
      <c r="AE13" s="22">
        <v>1.0</v>
      </c>
      <c r="AF13" s="22">
        <v>2.0</v>
      </c>
    </row>
    <row r="14">
      <c r="A14" s="22" t="s">
        <v>141</v>
      </c>
      <c r="B14" s="47">
        <f t="shared" ref="B14:AF14" si="2">B13/B11</f>
        <v>1.2</v>
      </c>
      <c r="C14" s="47">
        <f t="shared" si="2"/>
        <v>0.625</v>
      </c>
      <c r="D14" s="47">
        <f t="shared" si="2"/>
        <v>1.25</v>
      </c>
      <c r="E14" s="47">
        <f t="shared" si="2"/>
        <v>1</v>
      </c>
      <c r="F14" s="47">
        <f t="shared" si="2"/>
        <v>0.8333333333</v>
      </c>
      <c r="G14" s="47">
        <f t="shared" si="2"/>
        <v>0.7272727273</v>
      </c>
      <c r="H14" s="47">
        <f t="shared" si="2"/>
        <v>2.5</v>
      </c>
      <c r="I14" s="47">
        <f t="shared" si="2"/>
        <v>0.625</v>
      </c>
      <c r="J14" s="47">
        <f t="shared" si="2"/>
        <v>0.5555555556</v>
      </c>
      <c r="K14" s="47">
        <f t="shared" si="2"/>
        <v>0.25</v>
      </c>
      <c r="L14" s="47">
        <f t="shared" si="2"/>
        <v>2.5</v>
      </c>
      <c r="M14" s="47">
        <f t="shared" si="2"/>
        <v>1.333333333</v>
      </c>
      <c r="N14" s="47">
        <f t="shared" si="2"/>
        <v>0.7142857143</v>
      </c>
      <c r="O14" s="47">
        <f t="shared" si="2"/>
        <v>0.5714285714</v>
      </c>
      <c r="P14" s="47">
        <f t="shared" si="2"/>
        <v>0.7777777778</v>
      </c>
      <c r="Q14" s="47">
        <f t="shared" si="2"/>
        <v>0.6666666667</v>
      </c>
      <c r="R14" s="47">
        <f t="shared" si="2"/>
        <v>1.25</v>
      </c>
      <c r="S14" s="47">
        <f t="shared" si="2"/>
        <v>1.2</v>
      </c>
      <c r="T14" s="47">
        <f t="shared" si="2"/>
        <v>1</v>
      </c>
      <c r="U14" s="47">
        <f t="shared" si="2"/>
        <v>1.75</v>
      </c>
      <c r="V14" s="47">
        <f t="shared" si="2"/>
        <v>1</v>
      </c>
      <c r="W14" s="47">
        <f t="shared" si="2"/>
        <v>0.8333333333</v>
      </c>
      <c r="X14" s="47">
        <f t="shared" si="2"/>
        <v>1</v>
      </c>
      <c r="Y14" s="47">
        <f t="shared" si="2"/>
        <v>1.2</v>
      </c>
      <c r="Z14" s="47">
        <f t="shared" si="2"/>
        <v>0.6153846154</v>
      </c>
      <c r="AA14" s="47">
        <f t="shared" si="2"/>
        <v>1.285714286</v>
      </c>
      <c r="AB14" s="47">
        <f t="shared" si="2"/>
        <v>1</v>
      </c>
      <c r="AC14" s="47">
        <f t="shared" si="2"/>
        <v>0.5</v>
      </c>
      <c r="AD14" s="47">
        <f t="shared" si="2"/>
        <v>0.6666666667</v>
      </c>
      <c r="AE14" s="47">
        <f t="shared" si="2"/>
        <v>1</v>
      </c>
      <c r="AF14" s="47" t="str">
        <f t="shared" si="2"/>
        <v>#DIV/0!</v>
      </c>
    </row>
    <row r="16">
      <c r="A16" s="22" t="s">
        <v>178</v>
      </c>
      <c r="B16" s="22">
        <v>22.0</v>
      </c>
      <c r="C16" s="22">
        <v>11.0</v>
      </c>
      <c r="D16" s="22">
        <v>15.0</v>
      </c>
      <c r="E16" s="22">
        <v>14.0</v>
      </c>
      <c r="F16" s="22">
        <v>10.0</v>
      </c>
      <c r="G16" s="22">
        <v>9.0</v>
      </c>
      <c r="H16" s="22">
        <v>4.0</v>
      </c>
      <c r="I16" s="22">
        <v>6.0</v>
      </c>
      <c r="J16" s="22">
        <v>4.0</v>
      </c>
      <c r="K16" s="22">
        <v>2.0</v>
      </c>
      <c r="L16" s="22">
        <v>8.0</v>
      </c>
      <c r="M16" s="22">
        <v>3.0</v>
      </c>
      <c r="N16" s="22">
        <v>6.0</v>
      </c>
      <c r="O16" s="22">
        <v>5.0</v>
      </c>
      <c r="P16" s="22">
        <v>10.0</v>
      </c>
      <c r="Q16" s="22">
        <v>3.0</v>
      </c>
      <c r="R16" s="22">
        <v>8.0</v>
      </c>
      <c r="S16" s="22">
        <v>6.0</v>
      </c>
      <c r="T16" s="22">
        <v>4.0</v>
      </c>
      <c r="U16" s="22">
        <v>9.0</v>
      </c>
      <c r="V16" s="22">
        <v>14.0</v>
      </c>
      <c r="W16" s="22">
        <v>8.0</v>
      </c>
      <c r="X16" s="22">
        <v>9.0</v>
      </c>
      <c r="Y16" s="22">
        <v>9.0</v>
      </c>
      <c r="Z16" s="22">
        <v>7.0</v>
      </c>
      <c r="AA16" s="22">
        <v>11.0</v>
      </c>
      <c r="AB16" s="22">
        <v>14.0</v>
      </c>
      <c r="AC16" s="22">
        <v>9.0</v>
      </c>
      <c r="AD16" s="22">
        <v>10.0</v>
      </c>
      <c r="AE16" s="22">
        <v>6.0</v>
      </c>
      <c r="AF16" s="22">
        <v>0.0</v>
      </c>
    </row>
    <row r="17">
      <c r="A17" s="22" t="s">
        <v>141</v>
      </c>
      <c r="B17" s="47">
        <f t="shared" ref="B17:AF17" si="3">B16/B11</f>
        <v>1.1</v>
      </c>
      <c r="C17" s="47">
        <f t="shared" si="3"/>
        <v>0.6875</v>
      </c>
      <c r="D17" s="47">
        <f t="shared" si="3"/>
        <v>1.25</v>
      </c>
      <c r="E17" s="47">
        <f t="shared" si="3"/>
        <v>1.076923077</v>
      </c>
      <c r="F17" s="47">
        <f t="shared" si="3"/>
        <v>0.8333333333</v>
      </c>
      <c r="G17" s="47">
        <f t="shared" si="3"/>
        <v>0.8181818182</v>
      </c>
      <c r="H17" s="47">
        <f t="shared" si="3"/>
        <v>2</v>
      </c>
      <c r="I17" s="47">
        <f t="shared" si="3"/>
        <v>0.75</v>
      </c>
      <c r="J17" s="47">
        <f t="shared" si="3"/>
        <v>0.4444444444</v>
      </c>
      <c r="K17" s="47">
        <f t="shared" si="3"/>
        <v>0.25</v>
      </c>
      <c r="L17" s="47">
        <f t="shared" si="3"/>
        <v>4</v>
      </c>
      <c r="M17" s="47">
        <f t="shared" si="3"/>
        <v>1</v>
      </c>
      <c r="N17" s="47">
        <f t="shared" si="3"/>
        <v>0.8571428571</v>
      </c>
      <c r="O17" s="47">
        <f t="shared" si="3"/>
        <v>0.7142857143</v>
      </c>
      <c r="P17" s="47">
        <f t="shared" si="3"/>
        <v>1.111111111</v>
      </c>
      <c r="Q17" s="47">
        <f t="shared" si="3"/>
        <v>0.5</v>
      </c>
      <c r="R17" s="47">
        <f t="shared" si="3"/>
        <v>2</v>
      </c>
      <c r="S17" s="47">
        <f t="shared" si="3"/>
        <v>1.2</v>
      </c>
      <c r="T17" s="47">
        <f t="shared" si="3"/>
        <v>1.333333333</v>
      </c>
      <c r="U17" s="47">
        <f t="shared" si="3"/>
        <v>2.25</v>
      </c>
      <c r="V17" s="47">
        <f t="shared" si="3"/>
        <v>1.4</v>
      </c>
      <c r="W17" s="47">
        <f t="shared" si="3"/>
        <v>0.6666666667</v>
      </c>
      <c r="X17" s="47">
        <f t="shared" si="3"/>
        <v>1</v>
      </c>
      <c r="Y17" s="47">
        <f t="shared" si="3"/>
        <v>1.8</v>
      </c>
      <c r="Z17" s="47">
        <f t="shared" si="3"/>
        <v>0.5384615385</v>
      </c>
      <c r="AA17" s="47">
        <f t="shared" si="3"/>
        <v>1.571428571</v>
      </c>
      <c r="AB17" s="47">
        <f t="shared" si="3"/>
        <v>2</v>
      </c>
      <c r="AC17" s="47">
        <f t="shared" si="3"/>
        <v>0.75</v>
      </c>
      <c r="AD17" s="47">
        <f t="shared" si="3"/>
        <v>1.666666667</v>
      </c>
      <c r="AE17" s="47">
        <f t="shared" si="3"/>
        <v>6</v>
      </c>
      <c r="AF17" s="47" t="str">
        <f t="shared" si="3"/>
        <v>#DIV/0!</v>
      </c>
    </row>
    <row r="19">
      <c r="A19" s="57" t="s">
        <v>204</v>
      </c>
      <c r="B19" s="57">
        <v>27.0</v>
      </c>
      <c r="C19" s="57">
        <v>16.0</v>
      </c>
      <c r="D19" s="57">
        <v>19.0</v>
      </c>
      <c r="E19" s="57">
        <v>25.0</v>
      </c>
      <c r="F19" s="57">
        <v>13.0</v>
      </c>
      <c r="G19" s="57">
        <v>16.0</v>
      </c>
      <c r="H19" s="57">
        <v>9.0</v>
      </c>
      <c r="I19" s="57">
        <v>14.0</v>
      </c>
      <c r="J19" s="57">
        <v>9.0</v>
      </c>
      <c r="K19" s="57">
        <v>10.0</v>
      </c>
      <c r="L19" s="57">
        <v>9.0</v>
      </c>
      <c r="M19" s="57">
        <v>7.0</v>
      </c>
      <c r="N19" s="57">
        <v>9.0</v>
      </c>
      <c r="O19" s="57">
        <v>7.0</v>
      </c>
      <c r="P19" s="57">
        <v>9.0</v>
      </c>
      <c r="Q19" s="57">
        <v>10.0</v>
      </c>
      <c r="R19" s="57">
        <v>12.0</v>
      </c>
      <c r="S19" s="57">
        <v>13.0</v>
      </c>
      <c r="T19" s="57">
        <v>6.0</v>
      </c>
      <c r="U19" s="57">
        <v>11.0</v>
      </c>
      <c r="V19" s="57">
        <v>18.0</v>
      </c>
      <c r="W19" s="57">
        <v>18.0</v>
      </c>
      <c r="X19" s="57">
        <v>11.0</v>
      </c>
      <c r="Y19" s="57">
        <v>12.0</v>
      </c>
      <c r="Z19" s="57">
        <v>10.0</v>
      </c>
      <c r="AA19" s="57">
        <v>11.0</v>
      </c>
      <c r="AB19" s="57">
        <v>14.0</v>
      </c>
      <c r="AC19" s="57">
        <v>14.0</v>
      </c>
      <c r="AD19" s="57">
        <v>15.0</v>
      </c>
      <c r="AE19" s="57">
        <v>7.0</v>
      </c>
      <c r="AF19" s="57">
        <v>5.0</v>
      </c>
    </row>
    <row r="20">
      <c r="A20" s="57" t="s">
        <v>205</v>
      </c>
      <c r="B20" s="59">
        <f t="shared" ref="B20:AF20" si="4">(1-B22)*B19+B19</f>
        <v>35.3079</v>
      </c>
      <c r="C20" s="59">
        <f t="shared" si="4"/>
        <v>19.2</v>
      </c>
      <c r="D20" s="59">
        <f t="shared" si="4"/>
        <v>23.56</v>
      </c>
      <c r="E20" s="59">
        <f t="shared" si="4"/>
        <v>30.4675</v>
      </c>
      <c r="F20" s="59">
        <f t="shared" si="4"/>
        <v>16.0589</v>
      </c>
      <c r="G20" s="59">
        <f t="shared" si="4"/>
        <v>22.1536</v>
      </c>
      <c r="H20" s="59">
        <f t="shared" si="4"/>
        <v>13.95</v>
      </c>
      <c r="I20" s="59">
        <f t="shared" si="4"/>
        <v>17.6848</v>
      </c>
      <c r="J20" s="59">
        <f t="shared" si="4"/>
        <v>12.6</v>
      </c>
      <c r="K20" s="59">
        <f t="shared" si="4"/>
        <v>12.857</v>
      </c>
      <c r="L20" s="59">
        <f t="shared" si="4"/>
        <v>12.9375</v>
      </c>
      <c r="M20" s="59">
        <f t="shared" si="4"/>
        <v>10.7331</v>
      </c>
      <c r="N20" s="59">
        <f t="shared" si="4"/>
        <v>11.7693</v>
      </c>
      <c r="O20" s="59">
        <f t="shared" si="4"/>
        <v>9.5452</v>
      </c>
      <c r="P20" s="59">
        <f t="shared" si="4"/>
        <v>12.9375</v>
      </c>
      <c r="Q20" s="59">
        <f t="shared" si="4"/>
        <v>12.857</v>
      </c>
      <c r="R20" s="59">
        <f t="shared" si="4"/>
        <v>12.9228</v>
      </c>
      <c r="S20" s="59">
        <f t="shared" si="4"/>
        <v>15.4375</v>
      </c>
      <c r="T20" s="59">
        <f t="shared" si="4"/>
        <v>6.8574</v>
      </c>
      <c r="U20" s="59">
        <f t="shared" si="4"/>
        <v>15.2779</v>
      </c>
      <c r="V20" s="59">
        <f t="shared" si="4"/>
        <v>20.5722</v>
      </c>
      <c r="W20" s="59">
        <f t="shared" si="4"/>
        <v>24.4278</v>
      </c>
      <c r="X20" s="59">
        <f t="shared" si="4"/>
        <v>13.9337</v>
      </c>
      <c r="Y20" s="59">
        <f t="shared" si="4"/>
        <v>15.5292</v>
      </c>
      <c r="Z20" s="59">
        <f t="shared" si="4"/>
        <v>14.737</v>
      </c>
      <c r="AA20" s="59">
        <f t="shared" si="4"/>
        <v>13.9337</v>
      </c>
      <c r="AB20" s="59">
        <f t="shared" si="4"/>
        <v>17.1108</v>
      </c>
      <c r="AC20" s="59">
        <f t="shared" si="4"/>
        <v>18.6662</v>
      </c>
      <c r="AD20" s="59">
        <f t="shared" si="4"/>
        <v>18.75</v>
      </c>
      <c r="AE20" s="59">
        <f t="shared" si="4"/>
        <v>9.9169</v>
      </c>
      <c r="AF20" s="59">
        <f t="shared" si="4"/>
        <v>7.7275</v>
      </c>
    </row>
    <row r="21">
      <c r="A21" s="22" t="s">
        <v>207</v>
      </c>
      <c r="B21" s="66">
        <f t="shared" ref="B21:AF21" si="5">(1-B33)*B20+B20</f>
        <v>41.96011304</v>
      </c>
      <c r="C21" s="66">
        <f t="shared" si="5"/>
        <v>24.68571429</v>
      </c>
      <c r="D21" s="66">
        <f t="shared" si="5"/>
        <v>29.57531915</v>
      </c>
      <c r="E21" s="66">
        <f t="shared" si="5"/>
        <v>38.68888889</v>
      </c>
      <c r="F21" s="66">
        <f t="shared" si="5"/>
        <v>18.59451579</v>
      </c>
      <c r="G21" s="66">
        <f t="shared" si="5"/>
        <v>29.40386909</v>
      </c>
      <c r="H21" s="66">
        <f t="shared" si="5"/>
        <v>19.251</v>
      </c>
      <c r="I21" s="66">
        <f t="shared" si="5"/>
        <v>27.90268444</v>
      </c>
      <c r="J21" s="66">
        <f t="shared" si="5"/>
        <v>18.13170732</v>
      </c>
      <c r="K21" s="66">
        <f t="shared" si="5"/>
        <v>16.47303125</v>
      </c>
      <c r="L21" s="66">
        <f t="shared" si="5"/>
        <v>15.453125</v>
      </c>
      <c r="M21" s="66">
        <f t="shared" si="5"/>
        <v>13.49304</v>
      </c>
      <c r="N21" s="66">
        <f t="shared" si="5"/>
        <v>13.12729615</v>
      </c>
      <c r="O21" s="66">
        <f t="shared" si="5"/>
        <v>11.45424</v>
      </c>
      <c r="P21" s="66">
        <f t="shared" si="5"/>
        <v>14.41607143</v>
      </c>
      <c r="Q21" s="66">
        <f t="shared" si="5"/>
        <v>15.58424242</v>
      </c>
      <c r="R21" s="66">
        <f t="shared" si="5"/>
        <v>14.990448</v>
      </c>
      <c r="S21" s="66">
        <f t="shared" si="5"/>
        <v>15.4375</v>
      </c>
      <c r="T21" s="66">
        <f t="shared" si="5"/>
        <v>8.470905882</v>
      </c>
      <c r="U21" s="66">
        <f t="shared" si="5"/>
        <v>18.58122973</v>
      </c>
      <c r="V21" s="66">
        <f t="shared" si="5"/>
        <v>21.15997714</v>
      </c>
      <c r="W21" s="66">
        <f t="shared" si="5"/>
        <v>25.05415385</v>
      </c>
      <c r="X21" s="66">
        <f t="shared" si="5"/>
        <v>15.00552308</v>
      </c>
      <c r="Y21" s="66">
        <f t="shared" si="5"/>
        <v>16.67951111</v>
      </c>
      <c r="Z21" s="66">
        <f t="shared" si="5"/>
        <v>16.2107</v>
      </c>
      <c r="AA21" s="66">
        <f t="shared" si="5"/>
        <v>16.43462051</v>
      </c>
      <c r="AB21" s="66">
        <f t="shared" si="5"/>
        <v>18.96061622</v>
      </c>
      <c r="AC21" s="66">
        <f t="shared" si="5"/>
        <v>19.30986207</v>
      </c>
      <c r="AD21" s="66">
        <f t="shared" si="5"/>
        <v>20.83333333</v>
      </c>
      <c r="AE21" s="66">
        <f t="shared" si="5"/>
        <v>11.8363</v>
      </c>
      <c r="AF21" s="66">
        <f t="shared" si="5"/>
        <v>8.50025</v>
      </c>
    </row>
    <row r="22">
      <c r="A22" s="57" t="s">
        <v>209</v>
      </c>
      <c r="B22" s="69">
        <v>0.6923</v>
      </c>
      <c r="C22" s="69">
        <v>0.8</v>
      </c>
      <c r="D22" s="69">
        <v>0.76</v>
      </c>
      <c r="E22" s="69">
        <v>0.7813</v>
      </c>
      <c r="F22" s="69">
        <v>0.7647</v>
      </c>
      <c r="G22" s="69">
        <v>0.6154</v>
      </c>
      <c r="H22" s="69">
        <v>0.45</v>
      </c>
      <c r="I22" s="69">
        <v>0.7368</v>
      </c>
      <c r="J22" s="69">
        <v>0.6</v>
      </c>
      <c r="K22" s="69">
        <v>0.7143</v>
      </c>
      <c r="L22" s="69">
        <v>0.5625</v>
      </c>
      <c r="M22" s="69">
        <v>0.4667</v>
      </c>
      <c r="N22" s="69">
        <v>0.6923</v>
      </c>
      <c r="O22" s="69">
        <v>0.6364</v>
      </c>
      <c r="P22" s="69">
        <v>0.5625</v>
      </c>
      <c r="Q22" s="69">
        <v>0.7143</v>
      </c>
      <c r="R22" s="69">
        <v>0.9231</v>
      </c>
      <c r="S22" s="69">
        <v>0.8125</v>
      </c>
      <c r="T22" s="69">
        <v>0.8571</v>
      </c>
      <c r="U22" s="69">
        <v>0.6111</v>
      </c>
      <c r="V22" s="69">
        <v>0.8571</v>
      </c>
      <c r="W22" s="69">
        <v>0.6429</v>
      </c>
      <c r="X22" s="69">
        <v>0.7333</v>
      </c>
      <c r="Y22" s="69">
        <v>0.7059</v>
      </c>
      <c r="Z22" s="69">
        <v>0.5263</v>
      </c>
      <c r="AA22" s="69">
        <v>0.7333</v>
      </c>
      <c r="AB22" s="69">
        <v>0.7778</v>
      </c>
      <c r="AC22" s="69">
        <v>0.6667</v>
      </c>
      <c r="AD22" s="69">
        <v>0.75</v>
      </c>
      <c r="AE22" s="69">
        <v>0.5833</v>
      </c>
      <c r="AF22" s="69">
        <v>0.4545</v>
      </c>
    </row>
    <row r="23">
      <c r="A23" s="22" t="s">
        <v>141</v>
      </c>
      <c r="B23" s="47">
        <f t="shared" ref="B23:AF23" si="6">B21/B11</f>
        <v>2.098005652</v>
      </c>
      <c r="C23" s="47">
        <f t="shared" si="6"/>
        <v>1.542857143</v>
      </c>
      <c r="D23" s="47">
        <f t="shared" si="6"/>
        <v>2.464609929</v>
      </c>
      <c r="E23" s="47">
        <f t="shared" si="6"/>
        <v>2.976068376</v>
      </c>
      <c r="F23" s="47">
        <f t="shared" si="6"/>
        <v>1.549542982</v>
      </c>
      <c r="G23" s="47">
        <f t="shared" si="6"/>
        <v>2.673079008</v>
      </c>
      <c r="H23" s="47">
        <f t="shared" si="6"/>
        <v>9.6255</v>
      </c>
      <c r="I23" s="47">
        <f t="shared" si="6"/>
        <v>3.487835556</v>
      </c>
      <c r="J23" s="47">
        <f t="shared" si="6"/>
        <v>2.014634146</v>
      </c>
      <c r="K23" s="47">
        <f t="shared" si="6"/>
        <v>2.059128906</v>
      </c>
      <c r="L23" s="47">
        <f t="shared" si="6"/>
        <v>7.7265625</v>
      </c>
      <c r="M23" s="47">
        <f t="shared" si="6"/>
        <v>4.49768</v>
      </c>
      <c r="N23" s="47">
        <f t="shared" si="6"/>
        <v>1.875328022</v>
      </c>
      <c r="O23" s="47">
        <f t="shared" si="6"/>
        <v>1.63632</v>
      </c>
      <c r="P23" s="47">
        <f t="shared" si="6"/>
        <v>1.601785714</v>
      </c>
      <c r="Q23" s="47">
        <f t="shared" si="6"/>
        <v>2.597373737</v>
      </c>
      <c r="R23" s="47">
        <f t="shared" si="6"/>
        <v>3.747612</v>
      </c>
      <c r="S23" s="47">
        <f t="shared" si="6"/>
        <v>3.0875</v>
      </c>
      <c r="T23" s="47">
        <f t="shared" si="6"/>
        <v>2.823635294</v>
      </c>
      <c r="U23" s="47">
        <f t="shared" si="6"/>
        <v>4.645307432</v>
      </c>
      <c r="V23" s="47">
        <f t="shared" si="6"/>
        <v>2.115997714</v>
      </c>
      <c r="W23" s="47">
        <f t="shared" si="6"/>
        <v>2.087846154</v>
      </c>
      <c r="X23" s="47">
        <f t="shared" si="6"/>
        <v>1.667280342</v>
      </c>
      <c r="Y23" s="47">
        <f t="shared" si="6"/>
        <v>3.335902222</v>
      </c>
      <c r="Z23" s="47">
        <f t="shared" si="6"/>
        <v>1.246976923</v>
      </c>
      <c r="AA23" s="47">
        <f t="shared" si="6"/>
        <v>2.34780293</v>
      </c>
      <c r="AB23" s="47">
        <f t="shared" si="6"/>
        <v>2.708659459</v>
      </c>
      <c r="AC23" s="47">
        <f t="shared" si="6"/>
        <v>1.609155172</v>
      </c>
      <c r="AD23" s="47">
        <f t="shared" si="6"/>
        <v>3.472222222</v>
      </c>
      <c r="AE23" s="47">
        <f t="shared" si="6"/>
        <v>11.8363</v>
      </c>
      <c r="AF23" s="47" t="str">
        <f t="shared" si="6"/>
        <v>#DIV/0!</v>
      </c>
    </row>
    <row r="25">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row>
    <row r="27">
      <c r="A27" s="84" t="s">
        <v>216</v>
      </c>
      <c r="B27" s="85">
        <f>Sales!B9</f>
        <v>69</v>
      </c>
      <c r="C27" s="85">
        <f>Sales!C9</f>
        <v>49</v>
      </c>
      <c r="D27" s="85">
        <f>Sales!D9</f>
        <v>47</v>
      </c>
      <c r="E27" s="85">
        <f>Sales!E9</f>
        <v>63</v>
      </c>
      <c r="F27" s="85">
        <f>Sales!F9</f>
        <v>38</v>
      </c>
      <c r="G27" s="85">
        <f>Sales!G9</f>
        <v>55</v>
      </c>
      <c r="H27" s="85">
        <f>Sales!H9</f>
        <v>50</v>
      </c>
      <c r="I27" s="85">
        <f>Sales!I9</f>
        <v>45</v>
      </c>
      <c r="J27" s="85">
        <f>Sales!J9</f>
        <v>41</v>
      </c>
      <c r="K27" s="85">
        <f>Sales!K9</f>
        <v>32</v>
      </c>
      <c r="L27" s="85">
        <f>Sales!L9</f>
        <v>36</v>
      </c>
      <c r="M27" s="85">
        <f>Sales!M9</f>
        <v>35</v>
      </c>
      <c r="N27" s="85">
        <f>Sales!N9</f>
        <v>26</v>
      </c>
      <c r="O27" s="85">
        <f>Sales!O9</f>
        <v>25</v>
      </c>
      <c r="P27" s="85">
        <f>Sales!P9</f>
        <v>35</v>
      </c>
      <c r="Q27" s="85">
        <f>Sales!Q9</f>
        <v>33</v>
      </c>
      <c r="R27" s="85">
        <f>Sales!R9</f>
        <v>25</v>
      </c>
      <c r="S27" s="85">
        <f>Sales!S9</f>
        <v>29</v>
      </c>
      <c r="T27" s="85">
        <f>Sales!T9</f>
        <v>17</v>
      </c>
      <c r="U27" s="85">
        <f>Sales!U9</f>
        <v>37</v>
      </c>
      <c r="V27" s="85">
        <f>Sales!V9</f>
        <v>35</v>
      </c>
      <c r="W27" s="85">
        <f>Sales!W9</f>
        <v>39</v>
      </c>
      <c r="X27" s="85">
        <f>Sales!X9</f>
        <v>26</v>
      </c>
      <c r="Y27" s="85">
        <f>Sales!Y9</f>
        <v>27</v>
      </c>
      <c r="Z27" s="85">
        <f>Sales!Z9</f>
        <v>30</v>
      </c>
      <c r="AA27" s="85">
        <f>Sales!AA9</f>
        <v>39</v>
      </c>
      <c r="AB27" s="85">
        <f>Sales!AB9</f>
        <v>37</v>
      </c>
      <c r="AC27" s="85">
        <f>Sales!AC9</f>
        <v>29</v>
      </c>
      <c r="AD27" s="85">
        <f>Sales!AD9</f>
        <v>36</v>
      </c>
      <c r="AE27" s="85">
        <f>Sales!AE9</f>
        <v>31</v>
      </c>
      <c r="AF27" s="85">
        <f>Sales!AF9</f>
        <v>20</v>
      </c>
    </row>
    <row r="29">
      <c r="A29" s="22" t="s">
        <v>217</v>
      </c>
      <c r="B29" s="22">
        <v>54.0</v>
      </c>
      <c r="C29" s="22">
        <v>37.0</v>
      </c>
      <c r="D29" s="22">
        <v>34.0</v>
      </c>
      <c r="E29" s="22">
        <v>47.0</v>
      </c>
      <c r="F29" s="22">
        <v>33.0</v>
      </c>
      <c r="G29" s="22">
        <v>38.0</v>
      </c>
      <c r="H29" s="22">
        <v>29.0</v>
      </c>
      <c r="I29" s="22">
        <v>31.0</v>
      </c>
      <c r="J29" s="22">
        <v>22.0</v>
      </c>
      <c r="K29" s="22">
        <v>23.0</v>
      </c>
      <c r="L29" s="22">
        <v>27.0</v>
      </c>
      <c r="M29" s="22">
        <v>23.0</v>
      </c>
      <c r="N29" s="22">
        <v>19.0</v>
      </c>
      <c r="O29" s="22">
        <v>19.0</v>
      </c>
      <c r="P29" s="22">
        <v>30.0</v>
      </c>
      <c r="Q29" s="22">
        <v>21.0</v>
      </c>
      <c r="R29" s="22">
        <v>23.0</v>
      </c>
      <c r="S29" s="22">
        <v>27.0</v>
      </c>
      <c r="T29" s="22">
        <v>11.0</v>
      </c>
      <c r="U29" s="22">
        <v>28.0</v>
      </c>
      <c r="V29" s="22">
        <v>35.0</v>
      </c>
      <c r="W29" s="22">
        <v>39.0</v>
      </c>
      <c r="X29" s="22">
        <v>23.0</v>
      </c>
      <c r="Y29" s="22">
        <v>25.0</v>
      </c>
      <c r="Z29" s="22">
        <v>26.0</v>
      </c>
      <c r="AA29" s="22">
        <v>30.0</v>
      </c>
      <c r="AB29" s="22">
        <v>31.0</v>
      </c>
      <c r="AC29" s="22">
        <v>26.0</v>
      </c>
      <c r="AD29" s="22">
        <v>29.0</v>
      </c>
      <c r="AE29" s="22">
        <v>28.0</v>
      </c>
      <c r="AF29" s="22">
        <v>19.0</v>
      </c>
    </row>
    <row r="30">
      <c r="A30" s="22" t="s">
        <v>141</v>
      </c>
      <c r="B30" s="47">
        <f t="shared" ref="B30:AF30" si="7">B29/B27</f>
        <v>0.7826086957</v>
      </c>
      <c r="C30" s="47">
        <f t="shared" si="7"/>
        <v>0.7551020408</v>
      </c>
      <c r="D30" s="47">
        <f t="shared" si="7"/>
        <v>0.7234042553</v>
      </c>
      <c r="E30" s="47">
        <f t="shared" si="7"/>
        <v>0.746031746</v>
      </c>
      <c r="F30" s="47">
        <f t="shared" si="7"/>
        <v>0.8684210526</v>
      </c>
      <c r="G30" s="47">
        <f t="shared" si="7"/>
        <v>0.6909090909</v>
      </c>
      <c r="H30" s="47">
        <f t="shared" si="7"/>
        <v>0.58</v>
      </c>
      <c r="I30" s="47">
        <f t="shared" si="7"/>
        <v>0.6888888889</v>
      </c>
      <c r="J30" s="47">
        <f t="shared" si="7"/>
        <v>0.5365853659</v>
      </c>
      <c r="K30" s="47">
        <f t="shared" si="7"/>
        <v>0.71875</v>
      </c>
      <c r="L30" s="47">
        <f t="shared" si="7"/>
        <v>0.75</v>
      </c>
      <c r="M30" s="47">
        <f t="shared" si="7"/>
        <v>0.6571428571</v>
      </c>
      <c r="N30" s="47">
        <f t="shared" si="7"/>
        <v>0.7307692308</v>
      </c>
      <c r="O30" s="47">
        <f t="shared" si="7"/>
        <v>0.76</v>
      </c>
      <c r="P30" s="47">
        <f t="shared" si="7"/>
        <v>0.8571428571</v>
      </c>
      <c r="Q30" s="47">
        <f t="shared" si="7"/>
        <v>0.6363636364</v>
      </c>
      <c r="R30" s="47">
        <f t="shared" si="7"/>
        <v>0.92</v>
      </c>
      <c r="S30" s="47">
        <f t="shared" si="7"/>
        <v>0.9310344828</v>
      </c>
      <c r="T30" s="47">
        <f t="shared" si="7"/>
        <v>0.6470588235</v>
      </c>
      <c r="U30" s="47">
        <f t="shared" si="7"/>
        <v>0.7567567568</v>
      </c>
      <c r="V30" s="47">
        <f t="shared" si="7"/>
        <v>1</v>
      </c>
      <c r="W30" s="47">
        <f t="shared" si="7"/>
        <v>1</v>
      </c>
      <c r="X30" s="47">
        <f t="shared" si="7"/>
        <v>0.8846153846</v>
      </c>
      <c r="Y30" s="47">
        <f t="shared" si="7"/>
        <v>0.9259259259</v>
      </c>
      <c r="Z30" s="47">
        <f t="shared" si="7"/>
        <v>0.8666666667</v>
      </c>
      <c r="AA30" s="47">
        <f t="shared" si="7"/>
        <v>0.7692307692</v>
      </c>
      <c r="AB30" s="47">
        <f t="shared" si="7"/>
        <v>0.8378378378</v>
      </c>
      <c r="AC30" s="47">
        <f t="shared" si="7"/>
        <v>0.8965517241</v>
      </c>
      <c r="AD30" s="47">
        <f t="shared" si="7"/>
        <v>0.8055555556</v>
      </c>
      <c r="AE30" s="47">
        <f t="shared" si="7"/>
        <v>0.9032258065</v>
      </c>
      <c r="AF30" s="47">
        <f t="shared" si="7"/>
        <v>0.95</v>
      </c>
    </row>
    <row r="32">
      <c r="A32" s="70" t="s">
        <v>221</v>
      </c>
      <c r="B32" s="97">
        <v>56.0</v>
      </c>
      <c r="C32" s="97">
        <v>35.0</v>
      </c>
      <c r="D32" s="97">
        <v>35.0</v>
      </c>
      <c r="E32" s="97">
        <v>46.0</v>
      </c>
      <c r="F32" s="97">
        <v>32.0</v>
      </c>
      <c r="G32" s="97">
        <v>37.0</v>
      </c>
      <c r="H32" s="97">
        <v>31.0</v>
      </c>
      <c r="I32" s="97">
        <v>19.0</v>
      </c>
      <c r="J32" s="97">
        <v>23.0</v>
      </c>
      <c r="K32" s="97">
        <v>23.0</v>
      </c>
      <c r="L32" s="97">
        <v>29.0</v>
      </c>
      <c r="M32" s="97">
        <v>26.0</v>
      </c>
      <c r="N32" s="97">
        <v>23.0</v>
      </c>
      <c r="O32" s="97">
        <v>20.0</v>
      </c>
      <c r="P32" s="98">
        <v>31.0</v>
      </c>
      <c r="Q32" s="98">
        <v>26.0</v>
      </c>
      <c r="R32" s="98">
        <v>21.0</v>
      </c>
      <c r="S32" s="98">
        <v>29.0</v>
      </c>
      <c r="T32" s="98">
        <v>13.0</v>
      </c>
      <c r="U32" s="98">
        <v>29.0</v>
      </c>
      <c r="V32" s="98">
        <v>34.0</v>
      </c>
      <c r="W32" s="98">
        <v>38.0</v>
      </c>
      <c r="X32" s="98">
        <v>24.0</v>
      </c>
      <c r="Y32" s="98">
        <v>25.0</v>
      </c>
      <c r="Z32" s="98">
        <v>27.0</v>
      </c>
      <c r="AA32" s="98">
        <v>32.0</v>
      </c>
      <c r="AB32" s="98">
        <v>33.0</v>
      </c>
      <c r="AC32" s="98">
        <v>28.0</v>
      </c>
      <c r="AD32" s="98">
        <v>32.0</v>
      </c>
      <c r="AE32" s="98">
        <v>25.0</v>
      </c>
      <c r="AF32" s="98">
        <v>18.0</v>
      </c>
    </row>
    <row r="33">
      <c r="A33" s="70" t="s">
        <v>141</v>
      </c>
      <c r="B33" s="101">
        <f t="shared" ref="B33:AF33" si="8">B32/B27</f>
        <v>0.8115942029</v>
      </c>
      <c r="C33" s="102">
        <f t="shared" si="8"/>
        <v>0.7142857143</v>
      </c>
      <c r="D33" s="101">
        <f t="shared" si="8"/>
        <v>0.7446808511</v>
      </c>
      <c r="E33" s="102">
        <f t="shared" si="8"/>
        <v>0.7301587302</v>
      </c>
      <c r="F33" s="102">
        <f t="shared" si="8"/>
        <v>0.8421052632</v>
      </c>
      <c r="G33" s="102">
        <f t="shared" si="8"/>
        <v>0.6727272727</v>
      </c>
      <c r="H33" s="102">
        <f t="shared" si="8"/>
        <v>0.62</v>
      </c>
      <c r="I33" s="101">
        <f t="shared" si="8"/>
        <v>0.4222222222</v>
      </c>
      <c r="J33" s="102">
        <f t="shared" si="8"/>
        <v>0.5609756098</v>
      </c>
      <c r="K33" s="102">
        <f t="shared" si="8"/>
        <v>0.71875</v>
      </c>
      <c r="L33" s="102">
        <f t="shared" si="8"/>
        <v>0.8055555556</v>
      </c>
      <c r="M33" s="102">
        <f t="shared" si="8"/>
        <v>0.7428571429</v>
      </c>
      <c r="N33" s="101">
        <f t="shared" si="8"/>
        <v>0.8846153846</v>
      </c>
      <c r="O33" s="102">
        <f t="shared" si="8"/>
        <v>0.8</v>
      </c>
      <c r="P33" s="103">
        <f t="shared" si="8"/>
        <v>0.8857142857</v>
      </c>
      <c r="Q33" s="103">
        <f t="shared" si="8"/>
        <v>0.7878787879</v>
      </c>
      <c r="R33" s="103">
        <f t="shared" si="8"/>
        <v>0.84</v>
      </c>
      <c r="S33" s="103">
        <f t="shared" si="8"/>
        <v>1</v>
      </c>
      <c r="T33" s="103">
        <f t="shared" si="8"/>
        <v>0.7647058824</v>
      </c>
      <c r="U33" s="103">
        <f t="shared" si="8"/>
        <v>0.7837837838</v>
      </c>
      <c r="V33" s="103">
        <f t="shared" si="8"/>
        <v>0.9714285714</v>
      </c>
      <c r="W33" s="103">
        <f t="shared" si="8"/>
        <v>0.9743589744</v>
      </c>
      <c r="X33" s="103">
        <f t="shared" si="8"/>
        <v>0.9230769231</v>
      </c>
      <c r="Y33" s="103">
        <f t="shared" si="8"/>
        <v>0.9259259259</v>
      </c>
      <c r="Z33" s="103">
        <f t="shared" si="8"/>
        <v>0.9</v>
      </c>
      <c r="AA33" s="103">
        <f t="shared" si="8"/>
        <v>0.8205128205</v>
      </c>
      <c r="AB33" s="103">
        <f t="shared" si="8"/>
        <v>0.8918918919</v>
      </c>
      <c r="AC33" s="103">
        <f t="shared" si="8"/>
        <v>0.9655172414</v>
      </c>
      <c r="AD33" s="103">
        <f t="shared" si="8"/>
        <v>0.8888888889</v>
      </c>
      <c r="AE33" s="103">
        <f t="shared" si="8"/>
        <v>0.8064516129</v>
      </c>
      <c r="AF33" s="103">
        <f t="shared" si="8"/>
        <v>0.9</v>
      </c>
    </row>
  </sheetData>
  <conditionalFormatting sqref="B30:AF30">
    <cfRule type="cellIs" dxfId="0" priority="1" operator="equal">
      <formula>1</formula>
    </cfRule>
  </conditionalFormatting>
  <conditionalFormatting sqref="B30:AF30">
    <cfRule type="cellIs" dxfId="1" priority="2" operator="lessThan">
      <formula>1</formula>
    </cfRule>
  </conditionalFormatting>
  <conditionalFormatting sqref="B30:AF30">
    <cfRule type="cellIs" dxfId="2" priority="3" operator="greaterThan">
      <formula>1</formula>
    </cfRule>
  </conditionalFormatting>
  <conditionalFormatting sqref="B17:AF17">
    <cfRule type="cellIs" dxfId="3" priority="4" operator="equal">
      <formula>1</formula>
    </cfRule>
  </conditionalFormatting>
  <conditionalFormatting sqref="B17:AF17">
    <cfRule type="cellIs" dxfId="2" priority="5" operator="greaterThan">
      <formula>1</formula>
    </cfRule>
  </conditionalFormatting>
  <conditionalFormatting sqref="B17:AF17">
    <cfRule type="cellIs" dxfId="1" priority="6" operator="lessThan">
      <formula>1</formula>
    </cfRule>
  </conditionalFormatting>
  <conditionalFormatting sqref="B14:AF14">
    <cfRule type="cellIs" dxfId="3" priority="7" operator="equal">
      <formula>1</formula>
    </cfRule>
  </conditionalFormatting>
  <conditionalFormatting sqref="B14:AF14">
    <cfRule type="cellIs" dxfId="2" priority="8" operator="greaterThan">
      <formula>1</formula>
    </cfRule>
  </conditionalFormatting>
  <conditionalFormatting sqref="B14:AF14">
    <cfRule type="cellIs" dxfId="1" priority="9" operator="lessThan">
      <formula>1</formula>
    </cfRule>
  </conditionalFormatting>
  <conditionalFormatting sqref="B23:AF23">
    <cfRule type="cellIs" dxfId="3" priority="10" operator="equal">
      <formula>1</formula>
    </cfRule>
  </conditionalFormatting>
  <conditionalFormatting sqref="B23:AF23">
    <cfRule type="cellIs" dxfId="2" priority="11" operator="greaterThan">
      <formula>1</formula>
    </cfRule>
  </conditionalFormatting>
  <conditionalFormatting sqref="B23:AF23">
    <cfRule type="cellIs" dxfId="1" priority="12" operator="lessThan">
      <formula>1</formula>
    </cfRule>
  </conditionalFormatting>
  <conditionalFormatting sqref="B5:AF5">
    <cfRule type="colorScale" priority="13">
      <colorScale>
        <cfvo type="min"/>
        <cfvo type="max"/>
        <color rgb="FFFFFFFF"/>
        <color rgb="FF57BB8A"/>
      </colorScale>
    </cfRule>
  </conditionalFormatting>
  <conditionalFormatting sqref="B33:AF33">
    <cfRule type="cellIs" dxfId="2" priority="14" operator="greaterThan">
      <formula>1</formula>
    </cfRule>
  </conditionalFormatting>
  <conditionalFormatting sqref="B33:AF33">
    <cfRule type="cellIs" dxfId="0" priority="15" operator="equal">
      <formula>1</formula>
    </cfRule>
  </conditionalFormatting>
  <conditionalFormatting sqref="B33:AF33">
    <cfRule type="cellIs" dxfId="1" priority="16" operator="lessThan">
      <formula>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6.38"/>
    <col customWidth="1" min="2" max="33" width="16.13"/>
  </cols>
  <sheetData>
    <row r="1">
      <c r="A1" s="2" t="s">
        <v>1</v>
      </c>
      <c r="B1" s="4">
        <v>44409.0</v>
      </c>
      <c r="C1" s="5">
        <v>44410.0</v>
      </c>
      <c r="D1" s="4">
        <v>44411.0</v>
      </c>
      <c r="E1" s="5">
        <v>44412.0</v>
      </c>
      <c r="F1" s="4">
        <v>44413.0</v>
      </c>
      <c r="G1" s="5">
        <v>44414.0</v>
      </c>
      <c r="H1" s="4">
        <v>44415.0</v>
      </c>
      <c r="I1" s="5">
        <v>44416.0</v>
      </c>
      <c r="J1" s="4">
        <v>44417.0</v>
      </c>
      <c r="K1" s="5">
        <v>44418.0</v>
      </c>
      <c r="L1" s="4">
        <v>44419.0</v>
      </c>
      <c r="M1" s="5">
        <v>44420.0</v>
      </c>
      <c r="N1" s="4">
        <v>44421.0</v>
      </c>
      <c r="O1" s="5">
        <v>44422.0</v>
      </c>
      <c r="P1" s="4">
        <v>44423.0</v>
      </c>
      <c r="Q1" s="5">
        <v>44424.0</v>
      </c>
      <c r="R1" s="4">
        <v>44425.0</v>
      </c>
      <c r="S1" s="5">
        <v>44426.0</v>
      </c>
      <c r="T1" s="4">
        <v>44427.0</v>
      </c>
      <c r="U1" s="5">
        <v>44428.0</v>
      </c>
      <c r="V1" s="4">
        <v>44429.0</v>
      </c>
      <c r="W1" s="5">
        <v>44430.0</v>
      </c>
      <c r="X1" s="4">
        <v>44431.0</v>
      </c>
      <c r="Y1" s="5">
        <v>44432.0</v>
      </c>
      <c r="Z1" s="4">
        <v>44433.0</v>
      </c>
      <c r="AA1" s="5">
        <v>44434.0</v>
      </c>
      <c r="AB1" s="4">
        <v>44435.0</v>
      </c>
      <c r="AC1" s="5">
        <v>44436.0</v>
      </c>
      <c r="AD1" s="4">
        <v>44437.0</v>
      </c>
      <c r="AE1" s="5">
        <v>44438.0</v>
      </c>
      <c r="AF1" s="15">
        <v>44439.0</v>
      </c>
      <c r="AG1" s="16" t="s">
        <v>26</v>
      </c>
    </row>
    <row r="2">
      <c r="A2" s="17" t="s">
        <v>27</v>
      </c>
      <c r="B2" s="18" t="s">
        <v>28</v>
      </c>
      <c r="C2" s="18" t="s">
        <v>29</v>
      </c>
      <c r="D2" s="18" t="s">
        <v>30</v>
      </c>
      <c r="E2" s="18" t="s">
        <v>31</v>
      </c>
      <c r="F2" s="18" t="s">
        <v>32</v>
      </c>
      <c r="G2" s="18" t="s">
        <v>33</v>
      </c>
      <c r="H2" s="18" t="s">
        <v>34</v>
      </c>
      <c r="I2" s="18" t="s">
        <v>28</v>
      </c>
      <c r="J2" s="18" t="s">
        <v>29</v>
      </c>
      <c r="K2" s="18" t="s">
        <v>30</v>
      </c>
      <c r="L2" s="18" t="s">
        <v>31</v>
      </c>
      <c r="M2" s="18" t="s">
        <v>32</v>
      </c>
      <c r="N2" s="18" t="s">
        <v>33</v>
      </c>
      <c r="O2" s="18" t="s">
        <v>34</v>
      </c>
      <c r="P2" s="18" t="s">
        <v>28</v>
      </c>
      <c r="Q2" s="18" t="s">
        <v>29</v>
      </c>
      <c r="R2" s="18" t="s">
        <v>30</v>
      </c>
      <c r="S2" s="18" t="s">
        <v>31</v>
      </c>
      <c r="T2" s="18" t="s">
        <v>32</v>
      </c>
      <c r="U2" s="18" t="s">
        <v>33</v>
      </c>
      <c r="V2" s="18" t="s">
        <v>34</v>
      </c>
      <c r="W2" s="18" t="s">
        <v>28</v>
      </c>
      <c r="X2" s="18" t="s">
        <v>29</v>
      </c>
      <c r="Y2" s="18" t="s">
        <v>30</v>
      </c>
      <c r="Z2" s="18" t="s">
        <v>31</v>
      </c>
      <c r="AA2" s="18" t="s">
        <v>32</v>
      </c>
      <c r="AB2" s="18" t="s">
        <v>33</v>
      </c>
      <c r="AC2" s="18" t="s">
        <v>34</v>
      </c>
      <c r="AD2" s="18" t="s">
        <v>28</v>
      </c>
      <c r="AE2" s="18" t="s">
        <v>29</v>
      </c>
      <c r="AF2" s="23" t="s">
        <v>30</v>
      </c>
      <c r="AG2" s="24"/>
    </row>
    <row r="3">
      <c r="A3" s="25" t="s">
        <v>39</v>
      </c>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7"/>
      <c r="AG3" s="24"/>
    </row>
    <row r="4">
      <c r="A4" s="28" t="s">
        <v>52</v>
      </c>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7"/>
      <c r="AG4" s="24"/>
    </row>
    <row r="5">
      <c r="A5" s="24" t="s">
        <v>58</v>
      </c>
      <c r="B5" s="30">
        <v>8.0</v>
      </c>
      <c r="C5" s="30">
        <v>6.0</v>
      </c>
      <c r="D5" s="30">
        <v>7.0</v>
      </c>
      <c r="E5" s="30">
        <v>9.0</v>
      </c>
      <c r="F5" s="30">
        <v>5.0</v>
      </c>
      <c r="G5" s="30">
        <v>13.0</v>
      </c>
      <c r="H5" s="30">
        <v>7.0</v>
      </c>
      <c r="I5" s="30">
        <v>9.0</v>
      </c>
      <c r="J5" s="30">
        <v>6.0</v>
      </c>
      <c r="K5" s="32">
        <v>6.0</v>
      </c>
      <c r="L5" s="30">
        <v>7.0</v>
      </c>
      <c r="M5" s="32">
        <v>6.0</v>
      </c>
      <c r="N5" s="32">
        <v>3.0</v>
      </c>
      <c r="O5" s="32">
        <v>2.0</v>
      </c>
      <c r="P5" s="32">
        <v>9.0</v>
      </c>
      <c r="Q5" s="32">
        <v>4.0</v>
      </c>
      <c r="R5" s="32">
        <v>6.0</v>
      </c>
      <c r="S5" s="32">
        <v>8.0</v>
      </c>
      <c r="T5" s="32">
        <v>1.0</v>
      </c>
      <c r="U5" s="32">
        <v>7.0</v>
      </c>
      <c r="V5" s="32">
        <v>5.0</v>
      </c>
      <c r="W5" s="32">
        <v>13.0</v>
      </c>
      <c r="X5" s="32">
        <v>9.0</v>
      </c>
      <c r="Y5" s="32">
        <v>6.0</v>
      </c>
      <c r="Z5" s="32">
        <v>3.0</v>
      </c>
      <c r="AA5" s="32">
        <v>4.0</v>
      </c>
      <c r="AB5" s="32">
        <v>4.0</v>
      </c>
      <c r="AC5" s="32">
        <v>5.0</v>
      </c>
      <c r="AD5" s="32">
        <v>5.0</v>
      </c>
      <c r="AE5" s="32">
        <v>10.0</v>
      </c>
      <c r="AF5" s="35">
        <v>5.0</v>
      </c>
      <c r="AG5" s="36">
        <f t="shared" ref="AG5:AG14" si="1">SUM(B5:AF5)</f>
        <v>198</v>
      </c>
    </row>
    <row r="6">
      <c r="A6" s="24" t="s">
        <v>67</v>
      </c>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8"/>
      <c r="AG6" s="39">
        <f t="shared" si="1"/>
        <v>0</v>
      </c>
    </row>
    <row r="7">
      <c r="A7" s="24" t="s">
        <v>76</v>
      </c>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8"/>
      <c r="AG7" s="39">
        <f t="shared" si="1"/>
        <v>0</v>
      </c>
    </row>
    <row r="8">
      <c r="A8" s="24" t="s">
        <v>84</v>
      </c>
      <c r="B8" s="30">
        <v>7.0</v>
      </c>
      <c r="C8" s="30">
        <v>7.0</v>
      </c>
      <c r="D8" s="30">
        <v>4.0</v>
      </c>
      <c r="E8" s="30">
        <v>7.0</v>
      </c>
      <c r="F8" s="30">
        <v>9.0</v>
      </c>
      <c r="G8" s="30">
        <v>2.0</v>
      </c>
      <c r="H8" s="30">
        <v>2.0</v>
      </c>
      <c r="I8" s="30">
        <v>0.0</v>
      </c>
      <c r="J8" s="30">
        <v>2.0</v>
      </c>
      <c r="K8" s="32">
        <v>3.0</v>
      </c>
      <c r="L8" s="32">
        <v>0.0</v>
      </c>
      <c r="M8" s="32">
        <v>2.0</v>
      </c>
      <c r="N8" s="32">
        <v>1.0</v>
      </c>
      <c r="O8" s="32">
        <v>4.0</v>
      </c>
      <c r="P8" s="32">
        <v>1.0</v>
      </c>
      <c r="Q8" s="32">
        <v>1.0</v>
      </c>
      <c r="R8" s="32">
        <v>1.0</v>
      </c>
      <c r="S8" s="32">
        <v>0.0</v>
      </c>
      <c r="T8" s="32">
        <v>0.0</v>
      </c>
      <c r="U8" s="37"/>
      <c r="V8" s="37"/>
      <c r="W8" s="37"/>
      <c r="X8" s="37"/>
      <c r="Y8" s="37"/>
      <c r="Z8" s="37"/>
      <c r="AA8" s="37"/>
      <c r="AB8" s="37"/>
      <c r="AC8" s="37"/>
      <c r="AD8" s="37"/>
      <c r="AE8" s="37"/>
      <c r="AF8" s="38"/>
      <c r="AG8" s="36">
        <f t="shared" si="1"/>
        <v>53</v>
      </c>
    </row>
    <row r="9">
      <c r="A9" s="24" t="s">
        <v>93</v>
      </c>
      <c r="B9" s="30">
        <v>26.0</v>
      </c>
      <c r="C9" s="30">
        <v>17.0</v>
      </c>
      <c r="D9" s="30">
        <v>19.0</v>
      </c>
      <c r="E9" s="30">
        <v>22.0</v>
      </c>
      <c r="F9" s="30">
        <v>10.0</v>
      </c>
      <c r="G9" s="30">
        <v>15.0</v>
      </c>
      <c r="H9" s="30">
        <v>15.0</v>
      </c>
      <c r="I9" s="30">
        <v>14.0</v>
      </c>
      <c r="J9" s="30">
        <v>11.0</v>
      </c>
      <c r="K9" s="32">
        <v>7.0</v>
      </c>
      <c r="L9" s="32">
        <v>3.0</v>
      </c>
      <c r="M9" s="32">
        <v>4.0</v>
      </c>
      <c r="N9" s="32">
        <v>9.0</v>
      </c>
      <c r="O9" s="32">
        <v>4.0</v>
      </c>
      <c r="P9" s="32">
        <v>10.0</v>
      </c>
      <c r="Q9" s="32">
        <v>8.0</v>
      </c>
      <c r="R9" s="32">
        <v>4.0</v>
      </c>
      <c r="S9" s="32">
        <v>7.0</v>
      </c>
      <c r="T9" s="32">
        <v>4.0</v>
      </c>
      <c r="U9" s="32">
        <v>11.0</v>
      </c>
      <c r="V9" s="32">
        <v>11.0</v>
      </c>
      <c r="W9" s="32">
        <v>15.0</v>
      </c>
      <c r="X9" s="32">
        <v>10.0</v>
      </c>
      <c r="Y9" s="32">
        <v>5.0</v>
      </c>
      <c r="Z9" s="32">
        <v>15.0</v>
      </c>
      <c r="AA9" s="32">
        <v>13.0</v>
      </c>
      <c r="AB9" s="32">
        <v>10.0</v>
      </c>
      <c r="AC9" s="32">
        <v>14.0</v>
      </c>
      <c r="AD9" s="32">
        <v>10.0</v>
      </c>
      <c r="AE9" s="32">
        <v>2.0</v>
      </c>
      <c r="AF9" s="35">
        <v>7.0</v>
      </c>
      <c r="AG9" s="36">
        <f t="shared" si="1"/>
        <v>332</v>
      </c>
    </row>
    <row r="10">
      <c r="A10" s="24" t="s">
        <v>117</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8"/>
      <c r="AG10" s="39">
        <f t="shared" si="1"/>
        <v>0</v>
      </c>
    </row>
    <row r="11">
      <c r="A11" s="24" t="s">
        <v>149</v>
      </c>
      <c r="B11" s="30">
        <v>0.0</v>
      </c>
      <c r="C11" s="30">
        <v>1.0</v>
      </c>
      <c r="D11" s="30">
        <v>0.0</v>
      </c>
      <c r="E11" s="30">
        <v>1.0</v>
      </c>
      <c r="F11" s="30">
        <v>0.0</v>
      </c>
      <c r="G11" s="30">
        <v>0.0</v>
      </c>
      <c r="H11" s="30">
        <v>1.0</v>
      </c>
      <c r="I11" s="30">
        <v>0.0</v>
      </c>
      <c r="J11" s="30">
        <v>0.0</v>
      </c>
      <c r="K11" s="32">
        <v>0.0</v>
      </c>
      <c r="L11" s="32">
        <v>0.0</v>
      </c>
      <c r="M11" s="32">
        <v>1.0</v>
      </c>
      <c r="N11" s="32">
        <v>0.0</v>
      </c>
      <c r="O11" s="32">
        <v>1.0</v>
      </c>
      <c r="P11" s="32">
        <v>0.0</v>
      </c>
      <c r="Q11" s="32">
        <v>0.0</v>
      </c>
      <c r="R11" s="32">
        <v>0.0</v>
      </c>
      <c r="S11" s="32">
        <v>0.0</v>
      </c>
      <c r="T11" s="32">
        <v>0.0</v>
      </c>
      <c r="U11" s="32">
        <v>0.0</v>
      </c>
      <c r="V11" s="32">
        <v>1.0</v>
      </c>
      <c r="W11" s="32">
        <v>1.0</v>
      </c>
      <c r="X11" s="32">
        <v>0.0</v>
      </c>
      <c r="Y11" s="32">
        <v>1.0</v>
      </c>
      <c r="Z11" s="32">
        <v>0.0</v>
      </c>
      <c r="AA11" s="32">
        <v>1.0</v>
      </c>
      <c r="AB11" s="32">
        <v>1.0</v>
      </c>
      <c r="AC11" s="32">
        <v>1.0</v>
      </c>
      <c r="AD11" s="32">
        <v>0.0</v>
      </c>
      <c r="AE11" s="32">
        <v>1.0</v>
      </c>
      <c r="AF11" s="35">
        <v>1.0</v>
      </c>
      <c r="AG11" s="36">
        <f t="shared" si="1"/>
        <v>13</v>
      </c>
    </row>
    <row r="12">
      <c r="A12" s="24" t="s">
        <v>161</v>
      </c>
      <c r="B12" s="30">
        <v>0.0</v>
      </c>
      <c r="C12" s="48"/>
      <c r="D12" s="48"/>
      <c r="E12" s="48"/>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9"/>
      <c r="AG12" s="36">
        <f t="shared" si="1"/>
        <v>0</v>
      </c>
    </row>
    <row r="13">
      <c r="A13" s="50" t="s">
        <v>182</v>
      </c>
      <c r="B13" s="51"/>
      <c r="C13" s="51"/>
      <c r="D13" s="51"/>
      <c r="E13" s="51"/>
      <c r="F13" s="51"/>
      <c r="G13" s="51"/>
      <c r="H13" s="51"/>
      <c r="I13" s="51"/>
      <c r="J13" s="51"/>
      <c r="K13" s="52">
        <v>1.0</v>
      </c>
      <c r="L13" s="53">
        <v>0.0</v>
      </c>
      <c r="M13" s="53">
        <v>1.0</v>
      </c>
      <c r="N13" s="53">
        <v>0.0</v>
      </c>
      <c r="O13" s="53">
        <v>1.0</v>
      </c>
      <c r="P13" s="53">
        <v>2.0</v>
      </c>
      <c r="Q13" s="53">
        <v>0.0</v>
      </c>
      <c r="R13" s="53">
        <v>0.0</v>
      </c>
      <c r="S13" s="53">
        <v>0.0</v>
      </c>
      <c r="T13" s="53">
        <v>0.0</v>
      </c>
      <c r="U13" s="51"/>
      <c r="V13" s="51"/>
      <c r="W13" s="51"/>
      <c r="X13" s="51"/>
      <c r="Y13" s="51"/>
      <c r="Z13" s="51"/>
      <c r="AA13" s="51"/>
      <c r="AB13" s="51"/>
      <c r="AC13" s="51"/>
      <c r="AD13" s="51"/>
      <c r="AE13" s="51"/>
      <c r="AF13" s="54"/>
      <c r="AG13" s="55">
        <f t="shared" si="1"/>
        <v>5</v>
      </c>
    </row>
    <row r="14">
      <c r="A14" s="24" t="s">
        <v>26</v>
      </c>
      <c r="B14" s="56">
        <f t="shared" ref="B14:AF14" si="2">SUM(B5:B13)</f>
        <v>41</v>
      </c>
      <c r="C14" s="56">
        <f t="shared" si="2"/>
        <v>31</v>
      </c>
      <c r="D14" s="56">
        <f t="shared" si="2"/>
        <v>30</v>
      </c>
      <c r="E14" s="56">
        <f t="shared" si="2"/>
        <v>39</v>
      </c>
      <c r="F14" s="56">
        <f t="shared" si="2"/>
        <v>24</v>
      </c>
      <c r="G14" s="56">
        <f t="shared" si="2"/>
        <v>30</v>
      </c>
      <c r="H14" s="56">
        <f t="shared" si="2"/>
        <v>25</v>
      </c>
      <c r="I14" s="56">
        <f t="shared" si="2"/>
        <v>23</v>
      </c>
      <c r="J14" s="56">
        <f t="shared" si="2"/>
        <v>19</v>
      </c>
      <c r="K14" s="56">
        <f t="shared" si="2"/>
        <v>17</v>
      </c>
      <c r="L14" s="56">
        <f t="shared" si="2"/>
        <v>10</v>
      </c>
      <c r="M14" s="56">
        <f t="shared" si="2"/>
        <v>14</v>
      </c>
      <c r="N14" s="56">
        <f t="shared" si="2"/>
        <v>13</v>
      </c>
      <c r="O14" s="56">
        <f t="shared" si="2"/>
        <v>12</v>
      </c>
      <c r="P14" s="56">
        <f t="shared" si="2"/>
        <v>22</v>
      </c>
      <c r="Q14" s="56">
        <f t="shared" si="2"/>
        <v>13</v>
      </c>
      <c r="R14" s="56">
        <f t="shared" si="2"/>
        <v>11</v>
      </c>
      <c r="S14" s="56">
        <f t="shared" si="2"/>
        <v>15</v>
      </c>
      <c r="T14" s="56">
        <f t="shared" si="2"/>
        <v>5</v>
      </c>
      <c r="U14" s="56">
        <f t="shared" si="2"/>
        <v>18</v>
      </c>
      <c r="V14" s="56">
        <f t="shared" si="2"/>
        <v>17</v>
      </c>
      <c r="W14" s="56">
        <f t="shared" si="2"/>
        <v>29</v>
      </c>
      <c r="X14" s="56">
        <f t="shared" si="2"/>
        <v>19</v>
      </c>
      <c r="Y14" s="56">
        <f t="shared" si="2"/>
        <v>12</v>
      </c>
      <c r="Z14" s="56">
        <f t="shared" si="2"/>
        <v>18</v>
      </c>
      <c r="AA14" s="56">
        <f t="shared" si="2"/>
        <v>18</v>
      </c>
      <c r="AB14" s="56">
        <f t="shared" si="2"/>
        <v>15</v>
      </c>
      <c r="AC14" s="56">
        <f t="shared" si="2"/>
        <v>20</v>
      </c>
      <c r="AD14" s="56">
        <f t="shared" si="2"/>
        <v>15</v>
      </c>
      <c r="AE14" s="56">
        <f t="shared" si="2"/>
        <v>13</v>
      </c>
      <c r="AF14" s="58">
        <f t="shared" si="2"/>
        <v>13</v>
      </c>
      <c r="AG14" s="39">
        <f t="shared" si="1"/>
        <v>601</v>
      </c>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7"/>
      <c r="AG15" s="24"/>
    </row>
    <row r="16">
      <c r="A16" s="60" t="s">
        <v>206</v>
      </c>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7"/>
      <c r="AG16" s="24"/>
    </row>
    <row r="17">
      <c r="A17" s="24" t="s">
        <v>58</v>
      </c>
      <c r="B17" s="61">
        <v>2834.0</v>
      </c>
      <c r="C17" s="61">
        <v>1309.0</v>
      </c>
      <c r="D17" s="61">
        <v>1582.0</v>
      </c>
      <c r="E17" s="61">
        <v>2564.0</v>
      </c>
      <c r="F17" s="61">
        <v>1416.0</v>
      </c>
      <c r="G17" s="61">
        <v>3294.0</v>
      </c>
      <c r="H17" s="61">
        <v>1645.0</v>
      </c>
      <c r="I17" s="61">
        <v>2211.0</v>
      </c>
      <c r="J17" s="61">
        <v>1250.0</v>
      </c>
      <c r="K17" s="61">
        <v>2089.0</v>
      </c>
      <c r="L17" s="61">
        <v>1416.0</v>
      </c>
      <c r="M17" s="61">
        <v>1718.0</v>
      </c>
      <c r="N17" s="62">
        <v>970.0</v>
      </c>
      <c r="O17" s="62">
        <v>666.0</v>
      </c>
      <c r="P17" s="62">
        <v>3024.0</v>
      </c>
      <c r="Q17" s="61">
        <v>1141.0</v>
      </c>
      <c r="R17" s="61">
        <v>1365.0</v>
      </c>
      <c r="S17" s="61">
        <v>1921.0</v>
      </c>
      <c r="T17" s="61">
        <v>387.0</v>
      </c>
      <c r="U17" s="62">
        <v>1509.0</v>
      </c>
      <c r="V17" s="62">
        <v>1501.0</v>
      </c>
      <c r="W17" s="62">
        <v>3525.0</v>
      </c>
      <c r="X17" s="62">
        <v>2792.0</v>
      </c>
      <c r="Y17" s="62">
        <v>1683.0</v>
      </c>
      <c r="Z17" s="62">
        <v>673.0</v>
      </c>
      <c r="AA17" s="62">
        <v>972.0</v>
      </c>
      <c r="AB17" s="62">
        <v>1092.0</v>
      </c>
      <c r="AC17" s="62">
        <v>1705.0</v>
      </c>
      <c r="AD17" s="62">
        <v>1265.0</v>
      </c>
      <c r="AE17" s="62">
        <v>2482.0</v>
      </c>
      <c r="AF17" s="63">
        <v>1172.0</v>
      </c>
      <c r="AG17" s="64">
        <f t="shared" ref="AG17:AG26" si="3">SUM(B17:AF17)</f>
        <v>53173</v>
      </c>
    </row>
    <row r="18">
      <c r="A18" s="24" t="s">
        <v>67</v>
      </c>
      <c r="B18" s="65"/>
      <c r="C18" s="65"/>
      <c r="D18" s="65"/>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7"/>
      <c r="AG18" s="64">
        <f t="shared" si="3"/>
        <v>0</v>
      </c>
    </row>
    <row r="19">
      <c r="A19" s="24" t="s">
        <v>76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67"/>
      <c r="AG19" s="64">
        <f t="shared" si="3"/>
        <v>0</v>
      </c>
    </row>
    <row r="20">
      <c r="A20" s="24" t="s">
        <v>84</v>
      </c>
      <c r="B20" s="61">
        <v>2472.68</v>
      </c>
      <c r="C20" s="61">
        <v>956.71</v>
      </c>
      <c r="D20" s="61">
        <v>1086.31</v>
      </c>
      <c r="E20" s="61">
        <v>1552.65</v>
      </c>
      <c r="F20" s="61">
        <v>1426.62</v>
      </c>
      <c r="G20" s="61">
        <v>588.14</v>
      </c>
      <c r="H20" s="61">
        <v>575.8</v>
      </c>
      <c r="I20" s="62">
        <v>0.0</v>
      </c>
      <c r="J20" s="61">
        <v>453.46</v>
      </c>
      <c r="K20" s="61">
        <v>483.16</v>
      </c>
      <c r="L20" s="62">
        <v>0.0</v>
      </c>
      <c r="M20" s="61">
        <v>572.9</v>
      </c>
      <c r="N20" s="61">
        <v>15.09</v>
      </c>
      <c r="O20" s="61">
        <v>842.87</v>
      </c>
      <c r="P20" s="61">
        <v>203.17</v>
      </c>
      <c r="Q20" s="61">
        <v>99.57</v>
      </c>
      <c r="R20" s="61">
        <v>290.56</v>
      </c>
      <c r="S20" s="62">
        <v>0.0</v>
      </c>
      <c r="T20" s="62">
        <v>0.0</v>
      </c>
      <c r="U20" s="65"/>
      <c r="V20" s="65"/>
      <c r="W20" s="65"/>
      <c r="X20" s="65"/>
      <c r="Y20" s="65"/>
      <c r="Z20" s="65"/>
      <c r="AA20" s="65"/>
      <c r="AB20" s="65"/>
      <c r="AC20" s="65"/>
      <c r="AD20" s="65"/>
      <c r="AE20" s="65"/>
      <c r="AF20" s="67"/>
      <c r="AG20" s="64">
        <f t="shared" si="3"/>
        <v>11619.69</v>
      </c>
    </row>
    <row r="21">
      <c r="A21" s="24" t="s">
        <v>93</v>
      </c>
      <c r="B21" s="61">
        <v>6489.65</v>
      </c>
      <c r="C21" s="61">
        <v>4350.01</v>
      </c>
      <c r="D21" s="61">
        <v>6708.73</v>
      </c>
      <c r="E21" s="61">
        <v>5122.95</v>
      </c>
      <c r="F21" s="61">
        <v>2834.61</v>
      </c>
      <c r="G21" s="61">
        <v>3712.09</v>
      </c>
      <c r="H21" s="61">
        <v>3527.9</v>
      </c>
      <c r="I21" s="61">
        <v>3503.42</v>
      </c>
      <c r="J21" s="61">
        <v>2629.74</v>
      </c>
      <c r="K21" s="61">
        <v>1755.34</v>
      </c>
      <c r="L21" s="61">
        <v>651.16</v>
      </c>
      <c r="M21" s="61">
        <v>885.46</v>
      </c>
      <c r="N21" s="61">
        <v>2718.54</v>
      </c>
      <c r="O21" s="61">
        <v>1114.88</v>
      </c>
      <c r="P21" s="61">
        <v>2140.95</v>
      </c>
      <c r="Q21" s="61">
        <v>2182.34</v>
      </c>
      <c r="R21" s="61">
        <v>1090.37</v>
      </c>
      <c r="S21" s="61">
        <v>1727.32</v>
      </c>
      <c r="T21" s="61">
        <v>858.89</v>
      </c>
      <c r="U21" s="62">
        <v>2953.11</v>
      </c>
      <c r="V21" s="62">
        <v>2453.53</v>
      </c>
      <c r="W21" s="62">
        <v>2482.4</v>
      </c>
      <c r="X21" s="62">
        <v>2413.99</v>
      </c>
      <c r="Y21" s="61">
        <v>1563.61</v>
      </c>
      <c r="Z21" s="61">
        <v>466.42</v>
      </c>
      <c r="AA21" s="61">
        <v>3241.53</v>
      </c>
      <c r="AB21" s="61">
        <v>3470.82</v>
      </c>
      <c r="AC21" s="61">
        <v>2461.53</v>
      </c>
      <c r="AD21" s="61">
        <v>3479.22</v>
      </c>
      <c r="AE21" s="61">
        <v>4959.81</v>
      </c>
      <c r="AF21" s="78">
        <v>1107.64</v>
      </c>
      <c r="AG21" s="64">
        <f t="shared" si="3"/>
        <v>85057.96</v>
      </c>
    </row>
    <row r="22">
      <c r="A22" s="24" t="s">
        <v>117</v>
      </c>
      <c r="B22" s="65"/>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65"/>
      <c r="AF22" s="67"/>
      <c r="AG22" s="64">
        <f t="shared" si="3"/>
        <v>0</v>
      </c>
    </row>
    <row r="23">
      <c r="A23" s="24" t="s">
        <v>215</v>
      </c>
      <c r="B23" s="62">
        <v>0.0</v>
      </c>
      <c r="C23" s="61">
        <v>236.0</v>
      </c>
      <c r="D23" s="62">
        <v>0.0</v>
      </c>
      <c r="E23" s="61">
        <v>206.0</v>
      </c>
      <c r="F23" s="62">
        <v>0.0</v>
      </c>
      <c r="G23" s="62">
        <v>0.0</v>
      </c>
      <c r="H23" s="61">
        <v>206.0</v>
      </c>
      <c r="I23" s="62">
        <v>0.0</v>
      </c>
      <c r="J23" s="62">
        <v>0.0</v>
      </c>
      <c r="K23" s="62">
        <v>0.0</v>
      </c>
      <c r="L23" s="62">
        <v>0.0</v>
      </c>
      <c r="M23" s="62">
        <v>206.0</v>
      </c>
      <c r="N23" s="62">
        <v>0.0</v>
      </c>
      <c r="O23" s="62">
        <v>265.0</v>
      </c>
      <c r="P23" s="62">
        <v>0.0</v>
      </c>
      <c r="Q23" s="62">
        <v>0.0</v>
      </c>
      <c r="R23" s="62">
        <v>0.0</v>
      </c>
      <c r="S23" s="62">
        <v>0.0</v>
      </c>
      <c r="T23" s="62">
        <v>0.0</v>
      </c>
      <c r="U23" s="62">
        <v>0.0</v>
      </c>
      <c r="V23" s="62">
        <v>265.0</v>
      </c>
      <c r="W23" s="62">
        <v>206.0</v>
      </c>
      <c r="X23" s="62">
        <v>0.0</v>
      </c>
      <c r="Y23" s="62">
        <v>206.0</v>
      </c>
      <c r="Z23" s="62">
        <v>0.0</v>
      </c>
      <c r="AA23" s="62">
        <v>379.0</v>
      </c>
      <c r="AB23" s="62">
        <v>71.0</v>
      </c>
      <c r="AC23" s="62">
        <v>206.0</v>
      </c>
      <c r="AD23" s="62">
        <v>0.0</v>
      </c>
      <c r="AE23" s="62">
        <v>206.0</v>
      </c>
      <c r="AF23" s="63">
        <v>224.0</v>
      </c>
      <c r="AG23" s="64">
        <f t="shared" si="3"/>
        <v>2882</v>
      </c>
    </row>
    <row r="24">
      <c r="A24" s="24" t="s">
        <v>161</v>
      </c>
      <c r="B24" s="62">
        <v>0.0</v>
      </c>
      <c r="C24" s="62">
        <v>0.0</v>
      </c>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7"/>
      <c r="AG24" s="64">
        <f t="shared" si="3"/>
        <v>0</v>
      </c>
    </row>
    <row r="25">
      <c r="A25" s="50" t="s">
        <v>182</v>
      </c>
      <c r="B25" s="86"/>
      <c r="C25" s="86"/>
      <c r="D25" s="86"/>
      <c r="E25" s="86"/>
      <c r="F25" s="86"/>
      <c r="G25" s="86"/>
      <c r="H25" s="86"/>
      <c r="I25" s="86"/>
      <c r="J25" s="86"/>
      <c r="K25" s="87">
        <v>188.91</v>
      </c>
      <c r="L25" s="88">
        <v>0.0</v>
      </c>
      <c r="M25" s="88">
        <v>188.93</v>
      </c>
      <c r="N25" s="88">
        <v>0.0</v>
      </c>
      <c r="O25" s="87">
        <v>248.37</v>
      </c>
      <c r="P25" s="87">
        <v>527.36</v>
      </c>
      <c r="Q25" s="87">
        <v>0.0</v>
      </c>
      <c r="R25" s="87">
        <v>0.0</v>
      </c>
      <c r="S25" s="87">
        <v>0.0</v>
      </c>
      <c r="T25" s="87">
        <v>0.0</v>
      </c>
      <c r="U25" s="86"/>
      <c r="V25" s="86"/>
      <c r="W25" s="86"/>
      <c r="X25" s="86"/>
      <c r="Y25" s="86"/>
      <c r="Z25" s="86"/>
      <c r="AA25" s="86"/>
      <c r="AB25" s="86"/>
      <c r="AC25" s="86"/>
      <c r="AD25" s="86"/>
      <c r="AE25" s="86"/>
      <c r="AF25" s="89"/>
      <c r="AG25" s="90">
        <f t="shared" si="3"/>
        <v>1153.57</v>
      </c>
    </row>
    <row r="26">
      <c r="A26" s="24" t="s">
        <v>26</v>
      </c>
      <c r="B26" s="91">
        <f t="shared" ref="B26:AF26" si="4">SUM(B17:B25)</f>
        <v>11796.33</v>
      </c>
      <c r="C26" s="91">
        <f t="shared" si="4"/>
        <v>6851.72</v>
      </c>
      <c r="D26" s="91">
        <f t="shared" si="4"/>
        <v>9377.04</v>
      </c>
      <c r="E26" s="91">
        <f t="shared" si="4"/>
        <v>9445.6</v>
      </c>
      <c r="F26" s="91">
        <f t="shared" si="4"/>
        <v>5677.23</v>
      </c>
      <c r="G26" s="91">
        <f t="shared" si="4"/>
        <v>7594.23</v>
      </c>
      <c r="H26" s="91">
        <f t="shared" si="4"/>
        <v>5954.7</v>
      </c>
      <c r="I26" s="91">
        <f t="shared" si="4"/>
        <v>5714.42</v>
      </c>
      <c r="J26" s="91">
        <f t="shared" si="4"/>
        <v>4333.2</v>
      </c>
      <c r="K26" s="91">
        <f t="shared" si="4"/>
        <v>4516.41</v>
      </c>
      <c r="L26" s="91">
        <f t="shared" si="4"/>
        <v>2067.16</v>
      </c>
      <c r="M26" s="91">
        <f t="shared" si="4"/>
        <v>3571.29</v>
      </c>
      <c r="N26" s="91">
        <f t="shared" si="4"/>
        <v>3703.63</v>
      </c>
      <c r="O26" s="91">
        <f t="shared" si="4"/>
        <v>3137.12</v>
      </c>
      <c r="P26" s="91">
        <f t="shared" si="4"/>
        <v>5895.48</v>
      </c>
      <c r="Q26" s="91">
        <f t="shared" si="4"/>
        <v>3422.91</v>
      </c>
      <c r="R26" s="91">
        <f t="shared" si="4"/>
        <v>2745.93</v>
      </c>
      <c r="S26" s="91">
        <f t="shared" si="4"/>
        <v>3648.32</v>
      </c>
      <c r="T26" s="91">
        <f t="shared" si="4"/>
        <v>1245.89</v>
      </c>
      <c r="U26" s="91">
        <f t="shared" si="4"/>
        <v>4462.11</v>
      </c>
      <c r="V26" s="91">
        <f t="shared" si="4"/>
        <v>4219.53</v>
      </c>
      <c r="W26" s="91">
        <f t="shared" si="4"/>
        <v>6213.4</v>
      </c>
      <c r="X26" s="91">
        <f t="shared" si="4"/>
        <v>5205.99</v>
      </c>
      <c r="Y26" s="91">
        <f t="shared" si="4"/>
        <v>3452.61</v>
      </c>
      <c r="Z26" s="91">
        <f t="shared" si="4"/>
        <v>1139.42</v>
      </c>
      <c r="AA26" s="91">
        <f t="shared" si="4"/>
        <v>4592.53</v>
      </c>
      <c r="AB26" s="91">
        <f t="shared" si="4"/>
        <v>4633.82</v>
      </c>
      <c r="AC26" s="91">
        <f t="shared" si="4"/>
        <v>4372.53</v>
      </c>
      <c r="AD26" s="91">
        <f t="shared" si="4"/>
        <v>4744.22</v>
      </c>
      <c r="AE26" s="91">
        <f t="shared" si="4"/>
        <v>7647.81</v>
      </c>
      <c r="AF26" s="92">
        <f t="shared" si="4"/>
        <v>2503.64</v>
      </c>
      <c r="AG26" s="93">
        <f t="shared" si="3"/>
        <v>153886.22</v>
      </c>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7"/>
      <c r="AG27" s="94"/>
    </row>
    <row r="28">
      <c r="A28" s="95" t="s">
        <v>218</v>
      </c>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7"/>
      <c r="AG28" s="94"/>
    </row>
    <row r="29">
      <c r="A29" s="24" t="s">
        <v>219</v>
      </c>
      <c r="B29" s="61">
        <v>390.94</v>
      </c>
      <c r="C29" s="61">
        <v>326.11</v>
      </c>
      <c r="D29" s="61">
        <v>284.79</v>
      </c>
      <c r="E29" s="61">
        <v>284.43</v>
      </c>
      <c r="F29" s="61">
        <v>331.33</v>
      </c>
      <c r="G29" s="61">
        <v>265.55</v>
      </c>
      <c r="H29" s="61">
        <v>256.29</v>
      </c>
      <c r="I29" s="61">
        <v>220.36</v>
      </c>
      <c r="J29" s="61">
        <v>303.02</v>
      </c>
      <c r="K29" s="61">
        <v>299.55</v>
      </c>
      <c r="L29" s="61">
        <v>344.3</v>
      </c>
      <c r="M29" s="61">
        <v>331.49</v>
      </c>
      <c r="N29" s="61">
        <v>350.49</v>
      </c>
      <c r="O29" s="61">
        <v>350.97</v>
      </c>
      <c r="P29" s="61">
        <v>367.91</v>
      </c>
      <c r="Q29" s="61">
        <v>396.35</v>
      </c>
      <c r="R29" s="61">
        <v>373.47</v>
      </c>
      <c r="S29" s="61">
        <v>245.6</v>
      </c>
      <c r="T29" s="61">
        <v>281.21</v>
      </c>
      <c r="U29" s="62">
        <v>344.54</v>
      </c>
      <c r="V29" s="62">
        <v>477.52</v>
      </c>
      <c r="W29" s="62">
        <v>518.9</v>
      </c>
      <c r="X29" s="62">
        <v>608.15</v>
      </c>
      <c r="Y29" s="62">
        <v>604.88</v>
      </c>
      <c r="Z29" s="62">
        <v>407.07</v>
      </c>
      <c r="AA29" s="62">
        <v>95.57</v>
      </c>
      <c r="AB29" s="62">
        <v>88.52</v>
      </c>
      <c r="AC29" s="62">
        <v>88.89</v>
      </c>
      <c r="AD29" s="62">
        <v>58.21</v>
      </c>
      <c r="AE29" s="62">
        <v>69.66</v>
      </c>
      <c r="AF29" s="63">
        <v>57.4</v>
      </c>
      <c r="AG29" s="64">
        <f t="shared" ref="AG29:AG44" si="6">SUM(B29:AF29)</f>
        <v>9423.47</v>
      </c>
    </row>
    <row r="30">
      <c r="A30" s="24" t="s">
        <v>220</v>
      </c>
      <c r="B30" s="96">
        <f t="shared" ref="B30:Z30" si="5">B29*0.15</f>
        <v>58.641</v>
      </c>
      <c r="C30" s="96">
        <f t="shared" si="5"/>
        <v>48.9165</v>
      </c>
      <c r="D30" s="96">
        <f t="shared" si="5"/>
        <v>42.7185</v>
      </c>
      <c r="E30" s="96">
        <f t="shared" si="5"/>
        <v>42.6645</v>
      </c>
      <c r="F30" s="96">
        <f t="shared" si="5"/>
        <v>49.6995</v>
      </c>
      <c r="G30" s="96">
        <f t="shared" si="5"/>
        <v>39.8325</v>
      </c>
      <c r="H30" s="96">
        <f t="shared" si="5"/>
        <v>38.4435</v>
      </c>
      <c r="I30" s="96">
        <f t="shared" si="5"/>
        <v>33.054</v>
      </c>
      <c r="J30" s="96">
        <f t="shared" si="5"/>
        <v>45.453</v>
      </c>
      <c r="K30" s="96">
        <f t="shared" si="5"/>
        <v>44.9325</v>
      </c>
      <c r="L30" s="96">
        <f t="shared" si="5"/>
        <v>51.645</v>
      </c>
      <c r="M30" s="96">
        <f t="shared" si="5"/>
        <v>49.7235</v>
      </c>
      <c r="N30" s="96">
        <f t="shared" si="5"/>
        <v>52.5735</v>
      </c>
      <c r="O30" s="96">
        <f t="shared" si="5"/>
        <v>52.6455</v>
      </c>
      <c r="P30" s="96">
        <f t="shared" si="5"/>
        <v>55.1865</v>
      </c>
      <c r="Q30" s="96">
        <f t="shared" si="5"/>
        <v>59.4525</v>
      </c>
      <c r="R30" s="96">
        <f t="shared" si="5"/>
        <v>56.0205</v>
      </c>
      <c r="S30" s="96">
        <f t="shared" si="5"/>
        <v>36.84</v>
      </c>
      <c r="T30" s="96">
        <f t="shared" si="5"/>
        <v>42.1815</v>
      </c>
      <c r="U30" s="96">
        <f t="shared" si="5"/>
        <v>51.681</v>
      </c>
      <c r="V30" s="96">
        <f t="shared" si="5"/>
        <v>71.628</v>
      </c>
      <c r="W30" s="96">
        <f t="shared" si="5"/>
        <v>77.835</v>
      </c>
      <c r="X30" s="96">
        <f t="shared" si="5"/>
        <v>91.2225</v>
      </c>
      <c r="Y30" s="96">
        <f t="shared" si="5"/>
        <v>90.732</v>
      </c>
      <c r="Z30" s="96">
        <f t="shared" si="5"/>
        <v>61.0605</v>
      </c>
      <c r="AA30" s="65"/>
      <c r="AB30" s="65"/>
      <c r="AC30" s="65"/>
      <c r="AD30" s="65"/>
      <c r="AE30" s="65"/>
      <c r="AF30" s="67"/>
      <c r="AG30" s="64">
        <f t="shared" si="6"/>
        <v>1344.783</v>
      </c>
    </row>
    <row r="31">
      <c r="A31" s="24" t="s">
        <v>223</v>
      </c>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65"/>
      <c r="AF31" s="67"/>
      <c r="AG31" s="64">
        <f t="shared" si="6"/>
        <v>0</v>
      </c>
    </row>
    <row r="32">
      <c r="A32" s="24" t="s">
        <v>224</v>
      </c>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7"/>
      <c r="AG32" s="64">
        <f t="shared" si="6"/>
        <v>0</v>
      </c>
    </row>
    <row r="33">
      <c r="A33" s="24" t="s">
        <v>225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7"/>
      <c r="AG33" s="64">
        <f t="shared" si="6"/>
        <v>0</v>
      </c>
    </row>
    <row r="34">
      <c r="A34" s="24" t="s">
        <v>227</v>
      </c>
      <c r="B34" s="105">
        <f t="shared" ref="B34:AF34" si="7">B19*0.15</f>
        <v>0</v>
      </c>
      <c r="C34" s="105">
        <f t="shared" si="7"/>
        <v>0</v>
      </c>
      <c r="D34" s="105">
        <f t="shared" si="7"/>
        <v>0</v>
      </c>
      <c r="E34" s="105">
        <f t="shared" si="7"/>
        <v>0</v>
      </c>
      <c r="F34" s="105">
        <f t="shared" si="7"/>
        <v>0</v>
      </c>
      <c r="G34" s="105">
        <f t="shared" si="7"/>
        <v>0</v>
      </c>
      <c r="H34" s="105">
        <f t="shared" si="7"/>
        <v>0</v>
      </c>
      <c r="I34" s="105">
        <f t="shared" si="7"/>
        <v>0</v>
      </c>
      <c r="J34" s="105">
        <f t="shared" si="7"/>
        <v>0</v>
      </c>
      <c r="K34" s="105">
        <f t="shared" si="7"/>
        <v>0</v>
      </c>
      <c r="L34" s="105">
        <f t="shared" si="7"/>
        <v>0</v>
      </c>
      <c r="M34" s="105">
        <f t="shared" si="7"/>
        <v>0</v>
      </c>
      <c r="N34" s="105">
        <f t="shared" si="7"/>
        <v>0</v>
      </c>
      <c r="O34" s="105">
        <f t="shared" si="7"/>
        <v>0</v>
      </c>
      <c r="P34" s="105">
        <f t="shared" si="7"/>
        <v>0</v>
      </c>
      <c r="Q34" s="105">
        <f t="shared" si="7"/>
        <v>0</v>
      </c>
      <c r="R34" s="105">
        <f t="shared" si="7"/>
        <v>0</v>
      </c>
      <c r="S34" s="105">
        <f t="shared" si="7"/>
        <v>0</v>
      </c>
      <c r="T34" s="105">
        <f t="shared" si="7"/>
        <v>0</v>
      </c>
      <c r="U34" s="105">
        <f t="shared" si="7"/>
        <v>0</v>
      </c>
      <c r="V34" s="105">
        <f t="shared" si="7"/>
        <v>0</v>
      </c>
      <c r="W34" s="105">
        <f t="shared" si="7"/>
        <v>0</v>
      </c>
      <c r="X34" s="105">
        <f t="shared" si="7"/>
        <v>0</v>
      </c>
      <c r="Y34" s="105">
        <f t="shared" si="7"/>
        <v>0</v>
      </c>
      <c r="Z34" s="105">
        <f t="shared" si="7"/>
        <v>0</v>
      </c>
      <c r="AA34" s="105">
        <f t="shared" si="7"/>
        <v>0</v>
      </c>
      <c r="AB34" s="105">
        <f t="shared" si="7"/>
        <v>0</v>
      </c>
      <c r="AC34" s="105">
        <f t="shared" si="7"/>
        <v>0</v>
      </c>
      <c r="AD34" s="105">
        <f t="shared" si="7"/>
        <v>0</v>
      </c>
      <c r="AE34" s="105">
        <f t="shared" si="7"/>
        <v>0</v>
      </c>
      <c r="AF34" s="107">
        <f t="shared" si="7"/>
        <v>0</v>
      </c>
      <c r="AG34" s="64">
        <f t="shared" si="6"/>
        <v>0</v>
      </c>
    </row>
    <row r="35">
      <c r="A35" s="24" t="s">
        <v>228</v>
      </c>
      <c r="B35" s="61">
        <v>2859.39</v>
      </c>
      <c r="C35" s="61">
        <v>2602.89</v>
      </c>
      <c r="D35" s="61">
        <v>1719.9</v>
      </c>
      <c r="E35" s="61">
        <v>1389.34</v>
      </c>
      <c r="F35" s="61">
        <v>2513.0</v>
      </c>
      <c r="G35" s="61">
        <v>992.98</v>
      </c>
      <c r="H35" s="62">
        <v>0.0</v>
      </c>
      <c r="I35" s="62">
        <v>0.0</v>
      </c>
      <c r="J35" s="61">
        <v>510.92</v>
      </c>
      <c r="K35" s="61">
        <v>1121.16</v>
      </c>
      <c r="L35" s="61">
        <v>955.94</v>
      </c>
      <c r="M35" s="61">
        <v>1142.12</v>
      </c>
      <c r="N35" s="61">
        <v>1148.12</v>
      </c>
      <c r="O35" s="61">
        <v>756.12</v>
      </c>
      <c r="P35" s="61">
        <v>618.09</v>
      </c>
      <c r="Q35" s="61">
        <v>405.44</v>
      </c>
      <c r="R35" s="61">
        <v>322.56</v>
      </c>
      <c r="S35" s="61">
        <v>585.53</v>
      </c>
      <c r="T35" s="61">
        <v>417.34</v>
      </c>
      <c r="U35" s="65"/>
      <c r="V35" s="65"/>
      <c r="W35" s="65"/>
      <c r="X35" s="65"/>
      <c r="Y35" s="65"/>
      <c r="Z35" s="65"/>
      <c r="AA35" s="65"/>
      <c r="AB35" s="65"/>
      <c r="AC35" s="65"/>
      <c r="AD35" s="65"/>
      <c r="AE35" s="65"/>
      <c r="AF35" s="67"/>
      <c r="AG35" s="64">
        <f t="shared" si="6"/>
        <v>20060.84</v>
      </c>
    </row>
    <row r="36">
      <c r="A36" s="24" t="s">
        <v>229</v>
      </c>
      <c r="B36" s="61">
        <v>3913.6</v>
      </c>
      <c r="C36" s="61">
        <v>3098.93</v>
      </c>
      <c r="D36" s="61">
        <v>4048.11</v>
      </c>
      <c r="E36" s="61">
        <v>4104.28</v>
      </c>
      <c r="F36" s="61">
        <v>4072.73</v>
      </c>
      <c r="G36" s="61">
        <v>4553.36</v>
      </c>
      <c r="H36" s="61">
        <v>3637.62</v>
      </c>
      <c r="I36" s="61">
        <v>2979.08</v>
      </c>
      <c r="J36" s="61">
        <v>2898.89</v>
      </c>
      <c r="K36" s="61">
        <v>2852.24</v>
      </c>
      <c r="L36" s="61">
        <v>1974.56</v>
      </c>
      <c r="M36" s="61">
        <v>1277.33</v>
      </c>
      <c r="N36" s="61">
        <v>1284.07</v>
      </c>
      <c r="O36" s="61">
        <v>1417.81</v>
      </c>
      <c r="P36" s="61">
        <v>1372.36</v>
      </c>
      <c r="Q36" s="62">
        <v>1598.13</v>
      </c>
      <c r="R36" s="61">
        <v>1708.5</v>
      </c>
      <c r="S36" s="61">
        <v>2011.99</v>
      </c>
      <c r="T36" s="61">
        <v>2358.06</v>
      </c>
      <c r="U36" s="62">
        <v>2655.29</v>
      </c>
      <c r="V36" s="62">
        <v>2445.38</v>
      </c>
      <c r="W36" s="62">
        <v>2479.78</v>
      </c>
      <c r="X36" s="62">
        <v>2415.26</v>
      </c>
      <c r="Y36" s="61">
        <v>2937.83</v>
      </c>
      <c r="Z36" s="61">
        <v>3377.03</v>
      </c>
      <c r="AA36" s="61">
        <v>3096.26</v>
      </c>
      <c r="AB36" s="61">
        <v>2959.2</v>
      </c>
      <c r="AC36" s="61">
        <v>2686.35</v>
      </c>
      <c r="AD36" s="61">
        <v>2570.63</v>
      </c>
      <c r="AE36" s="61">
        <v>1001.56</v>
      </c>
      <c r="AF36" s="63">
        <v>0.0</v>
      </c>
      <c r="AG36" s="64">
        <f t="shared" si="6"/>
        <v>79786.22</v>
      </c>
    </row>
    <row r="37">
      <c r="A37" s="24" t="s">
        <v>230</v>
      </c>
      <c r="B37" s="61">
        <v>9.97</v>
      </c>
      <c r="C37" s="61">
        <v>7.86</v>
      </c>
      <c r="D37" s="61">
        <v>6.82</v>
      </c>
      <c r="E37" s="61">
        <v>8.42</v>
      </c>
      <c r="F37" s="61">
        <v>7.1</v>
      </c>
      <c r="G37" s="61">
        <v>8.47</v>
      </c>
      <c r="H37" s="61">
        <v>9.09</v>
      </c>
      <c r="I37" s="61">
        <v>6.88</v>
      </c>
      <c r="J37" s="61">
        <v>16.04</v>
      </c>
      <c r="K37" s="61">
        <v>4.33</v>
      </c>
      <c r="L37" s="61">
        <v>4.59</v>
      </c>
      <c r="M37" s="61">
        <v>7.93</v>
      </c>
      <c r="N37" s="61">
        <v>8.48</v>
      </c>
      <c r="O37" s="61">
        <v>7.06</v>
      </c>
      <c r="P37" s="61">
        <v>8.45</v>
      </c>
      <c r="Q37" s="61">
        <v>8.38</v>
      </c>
      <c r="R37" s="61">
        <v>12.1</v>
      </c>
      <c r="S37" s="61">
        <v>12.04</v>
      </c>
      <c r="T37" s="61">
        <v>10.02</v>
      </c>
      <c r="U37" s="62">
        <v>6.18</v>
      </c>
      <c r="V37" s="62">
        <v>4.43</v>
      </c>
      <c r="W37" s="62">
        <v>5.62</v>
      </c>
      <c r="X37" s="62">
        <v>1.55</v>
      </c>
      <c r="Y37" s="62">
        <v>8.63</v>
      </c>
      <c r="Z37" s="62">
        <v>13.25</v>
      </c>
      <c r="AA37" s="62">
        <v>10.95</v>
      </c>
      <c r="AB37" s="62">
        <v>5.34</v>
      </c>
      <c r="AC37" s="62">
        <v>3.61</v>
      </c>
      <c r="AD37" s="62">
        <v>3.49</v>
      </c>
      <c r="AE37" s="62">
        <v>6.64</v>
      </c>
      <c r="AF37" s="63">
        <v>9.32</v>
      </c>
      <c r="AG37" s="64">
        <f t="shared" si="6"/>
        <v>243.04</v>
      </c>
    </row>
    <row r="38">
      <c r="A38" s="24" t="s">
        <v>232</v>
      </c>
      <c r="B38" s="61">
        <v>394.63</v>
      </c>
      <c r="C38" s="61">
        <v>0.47</v>
      </c>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7"/>
      <c r="AG38" s="64">
        <f t="shared" si="6"/>
        <v>395.1</v>
      </c>
    </row>
    <row r="39">
      <c r="A39" s="110" t="s">
        <v>234</v>
      </c>
      <c r="B39" s="65"/>
      <c r="C39" s="65"/>
      <c r="D39" s="65"/>
      <c r="E39" s="65"/>
      <c r="F39" s="65"/>
      <c r="G39" s="65"/>
      <c r="H39" s="65"/>
      <c r="I39" s="65"/>
      <c r="J39" s="65"/>
      <c r="K39" s="61">
        <v>109.41</v>
      </c>
      <c r="L39" s="61">
        <v>117.42</v>
      </c>
      <c r="M39" s="61">
        <v>116.94</v>
      </c>
      <c r="N39" s="61">
        <v>229.85</v>
      </c>
      <c r="O39" s="61">
        <v>235.79</v>
      </c>
      <c r="P39" s="61">
        <v>235.53</v>
      </c>
      <c r="Q39" s="61">
        <v>188.02</v>
      </c>
      <c r="R39" s="61">
        <v>117.23</v>
      </c>
      <c r="S39" s="61">
        <v>114.32</v>
      </c>
      <c r="T39" s="61">
        <v>67.48</v>
      </c>
      <c r="U39" s="65"/>
      <c r="V39" s="65"/>
      <c r="W39" s="65"/>
      <c r="X39" s="65"/>
      <c r="Y39" s="65"/>
      <c r="Z39" s="65"/>
      <c r="AA39" s="65"/>
      <c r="AB39" s="65"/>
      <c r="AC39" s="65"/>
      <c r="AD39" s="65"/>
      <c r="AE39" s="65"/>
      <c r="AF39" s="67"/>
      <c r="AG39" s="64">
        <f t="shared" si="6"/>
        <v>1531.99</v>
      </c>
    </row>
    <row r="40">
      <c r="A40" s="24" t="s">
        <v>235</v>
      </c>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7"/>
      <c r="AG40" s="64">
        <f t="shared" si="6"/>
        <v>0</v>
      </c>
    </row>
    <row r="41">
      <c r="A41" s="24" t="s">
        <v>236</v>
      </c>
      <c r="B41" s="65"/>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5"/>
      <c r="AD41" s="65"/>
      <c r="AE41" s="65"/>
      <c r="AF41" s="67"/>
      <c r="AG41" s="64">
        <f t="shared" si="6"/>
        <v>0</v>
      </c>
    </row>
    <row r="42">
      <c r="A42" s="24" t="s">
        <v>238</v>
      </c>
      <c r="B42" s="96">
        <f t="shared" ref="B42:AF42" si="8">B26*0.026</f>
        <v>306.70458</v>
      </c>
      <c r="C42" s="96">
        <f t="shared" si="8"/>
        <v>178.14472</v>
      </c>
      <c r="D42" s="96">
        <f t="shared" si="8"/>
        <v>243.80304</v>
      </c>
      <c r="E42" s="96">
        <f t="shared" si="8"/>
        <v>245.5856</v>
      </c>
      <c r="F42" s="96">
        <f t="shared" si="8"/>
        <v>147.60798</v>
      </c>
      <c r="G42" s="96">
        <f t="shared" si="8"/>
        <v>197.44998</v>
      </c>
      <c r="H42" s="96">
        <f t="shared" si="8"/>
        <v>154.8222</v>
      </c>
      <c r="I42" s="96">
        <f t="shared" si="8"/>
        <v>148.57492</v>
      </c>
      <c r="J42" s="96">
        <f t="shared" si="8"/>
        <v>112.6632</v>
      </c>
      <c r="K42" s="96">
        <f t="shared" si="8"/>
        <v>117.42666</v>
      </c>
      <c r="L42" s="96">
        <f t="shared" si="8"/>
        <v>53.74616</v>
      </c>
      <c r="M42" s="96">
        <f t="shared" si="8"/>
        <v>92.85354</v>
      </c>
      <c r="N42" s="96">
        <f t="shared" si="8"/>
        <v>96.29438</v>
      </c>
      <c r="O42" s="96">
        <f t="shared" si="8"/>
        <v>81.56512</v>
      </c>
      <c r="P42" s="96">
        <f t="shared" si="8"/>
        <v>153.28248</v>
      </c>
      <c r="Q42" s="96">
        <f t="shared" si="8"/>
        <v>88.99566</v>
      </c>
      <c r="R42" s="96">
        <f t="shared" si="8"/>
        <v>71.39418</v>
      </c>
      <c r="S42" s="96">
        <f t="shared" si="8"/>
        <v>94.85632</v>
      </c>
      <c r="T42" s="96">
        <f t="shared" si="8"/>
        <v>32.39314</v>
      </c>
      <c r="U42" s="96">
        <f t="shared" si="8"/>
        <v>116.01486</v>
      </c>
      <c r="V42" s="96">
        <f t="shared" si="8"/>
        <v>109.70778</v>
      </c>
      <c r="W42" s="96">
        <f t="shared" si="8"/>
        <v>161.5484</v>
      </c>
      <c r="X42" s="96">
        <f t="shared" si="8"/>
        <v>135.35574</v>
      </c>
      <c r="Y42" s="96">
        <f t="shared" si="8"/>
        <v>89.76786</v>
      </c>
      <c r="Z42" s="96">
        <f t="shared" si="8"/>
        <v>29.62492</v>
      </c>
      <c r="AA42" s="96">
        <f t="shared" si="8"/>
        <v>119.40578</v>
      </c>
      <c r="AB42" s="96">
        <f t="shared" si="8"/>
        <v>120.47932</v>
      </c>
      <c r="AC42" s="96">
        <f t="shared" si="8"/>
        <v>113.68578</v>
      </c>
      <c r="AD42" s="96">
        <f t="shared" si="8"/>
        <v>123.34972</v>
      </c>
      <c r="AE42" s="96">
        <f t="shared" si="8"/>
        <v>198.84306</v>
      </c>
      <c r="AF42" s="113">
        <f t="shared" si="8"/>
        <v>65.09464</v>
      </c>
      <c r="AG42" s="64">
        <f t="shared" si="6"/>
        <v>4001.04172</v>
      </c>
    </row>
    <row r="43">
      <c r="A43" s="114" t="s">
        <v>241</v>
      </c>
      <c r="B43" s="115">
        <f t="shared" ref="B43:AF43" si="9">B14*0.3</f>
        <v>12.3</v>
      </c>
      <c r="C43" s="115">
        <f t="shared" si="9"/>
        <v>9.3</v>
      </c>
      <c r="D43" s="115">
        <f t="shared" si="9"/>
        <v>9</v>
      </c>
      <c r="E43" s="115">
        <f t="shared" si="9"/>
        <v>11.7</v>
      </c>
      <c r="F43" s="115">
        <f t="shared" si="9"/>
        <v>7.2</v>
      </c>
      <c r="G43" s="115">
        <f t="shared" si="9"/>
        <v>9</v>
      </c>
      <c r="H43" s="115">
        <f t="shared" si="9"/>
        <v>7.5</v>
      </c>
      <c r="I43" s="115">
        <f t="shared" si="9"/>
        <v>6.9</v>
      </c>
      <c r="J43" s="115">
        <f t="shared" si="9"/>
        <v>5.7</v>
      </c>
      <c r="K43" s="115">
        <f t="shared" si="9"/>
        <v>5.1</v>
      </c>
      <c r="L43" s="115">
        <f t="shared" si="9"/>
        <v>3</v>
      </c>
      <c r="M43" s="115">
        <f t="shared" si="9"/>
        <v>4.2</v>
      </c>
      <c r="N43" s="115">
        <f t="shared" si="9"/>
        <v>3.9</v>
      </c>
      <c r="O43" s="115">
        <f t="shared" si="9"/>
        <v>3.6</v>
      </c>
      <c r="P43" s="115">
        <f t="shared" si="9"/>
        <v>6.6</v>
      </c>
      <c r="Q43" s="115">
        <f t="shared" si="9"/>
        <v>3.9</v>
      </c>
      <c r="R43" s="115">
        <f t="shared" si="9"/>
        <v>3.3</v>
      </c>
      <c r="S43" s="115">
        <f t="shared" si="9"/>
        <v>4.5</v>
      </c>
      <c r="T43" s="115">
        <f t="shared" si="9"/>
        <v>1.5</v>
      </c>
      <c r="U43" s="115">
        <f t="shared" si="9"/>
        <v>5.4</v>
      </c>
      <c r="V43" s="115">
        <f t="shared" si="9"/>
        <v>5.1</v>
      </c>
      <c r="W43" s="115">
        <f t="shared" si="9"/>
        <v>8.7</v>
      </c>
      <c r="X43" s="115">
        <f t="shared" si="9"/>
        <v>5.7</v>
      </c>
      <c r="Y43" s="115">
        <f t="shared" si="9"/>
        <v>3.6</v>
      </c>
      <c r="Z43" s="115">
        <f t="shared" si="9"/>
        <v>5.4</v>
      </c>
      <c r="AA43" s="115">
        <f t="shared" si="9"/>
        <v>5.4</v>
      </c>
      <c r="AB43" s="115">
        <f t="shared" si="9"/>
        <v>4.5</v>
      </c>
      <c r="AC43" s="115">
        <f t="shared" si="9"/>
        <v>6</v>
      </c>
      <c r="AD43" s="115">
        <f t="shared" si="9"/>
        <v>4.5</v>
      </c>
      <c r="AE43" s="115">
        <f t="shared" si="9"/>
        <v>3.9</v>
      </c>
      <c r="AF43" s="118">
        <f t="shared" si="9"/>
        <v>3.9</v>
      </c>
      <c r="AG43" s="90">
        <f t="shared" si="6"/>
        <v>180.3</v>
      </c>
    </row>
    <row r="44">
      <c r="A44" s="24" t="s">
        <v>26</v>
      </c>
      <c r="B44" s="91">
        <f t="shared" ref="B44:AF44" si="10">SUM(B29:B43)</f>
        <v>7946.17558</v>
      </c>
      <c r="C44" s="91">
        <f t="shared" si="10"/>
        <v>6272.62122</v>
      </c>
      <c r="D44" s="91">
        <f t="shared" si="10"/>
        <v>6355.14154</v>
      </c>
      <c r="E44" s="91">
        <f t="shared" si="10"/>
        <v>6086.4201</v>
      </c>
      <c r="F44" s="91">
        <f t="shared" si="10"/>
        <v>7128.66748</v>
      </c>
      <c r="G44" s="91">
        <f t="shared" si="10"/>
        <v>6066.64248</v>
      </c>
      <c r="H44" s="91">
        <f t="shared" si="10"/>
        <v>4103.7657</v>
      </c>
      <c r="I44" s="91">
        <f t="shared" si="10"/>
        <v>3394.84892</v>
      </c>
      <c r="J44" s="91">
        <f t="shared" si="10"/>
        <v>3892.6862</v>
      </c>
      <c r="K44" s="91">
        <f t="shared" si="10"/>
        <v>4554.14916</v>
      </c>
      <c r="L44" s="91">
        <f t="shared" si="10"/>
        <v>3505.20116</v>
      </c>
      <c r="M44" s="91">
        <f t="shared" si="10"/>
        <v>3022.58704</v>
      </c>
      <c r="N44" s="91">
        <f t="shared" si="10"/>
        <v>3173.77788</v>
      </c>
      <c r="O44" s="91">
        <f t="shared" si="10"/>
        <v>2905.56062</v>
      </c>
      <c r="P44" s="91">
        <f t="shared" si="10"/>
        <v>2817.40898</v>
      </c>
      <c r="Q44" s="91">
        <f t="shared" si="10"/>
        <v>2748.66816</v>
      </c>
      <c r="R44" s="91">
        <f t="shared" si="10"/>
        <v>2664.57468</v>
      </c>
      <c r="S44" s="91">
        <f t="shared" si="10"/>
        <v>3105.67632</v>
      </c>
      <c r="T44" s="91">
        <f t="shared" si="10"/>
        <v>3210.18464</v>
      </c>
      <c r="U44" s="91">
        <f t="shared" si="10"/>
        <v>3179.10586</v>
      </c>
      <c r="V44" s="91">
        <f t="shared" si="10"/>
        <v>3113.76578</v>
      </c>
      <c r="W44" s="91">
        <f t="shared" si="10"/>
        <v>3252.3834</v>
      </c>
      <c r="X44" s="91">
        <f t="shared" si="10"/>
        <v>3257.23824</v>
      </c>
      <c r="Y44" s="91">
        <f t="shared" si="10"/>
        <v>3735.43986</v>
      </c>
      <c r="Z44" s="91">
        <f t="shared" si="10"/>
        <v>3893.43542</v>
      </c>
      <c r="AA44" s="91">
        <f t="shared" si="10"/>
        <v>3327.58578</v>
      </c>
      <c r="AB44" s="91">
        <f t="shared" si="10"/>
        <v>3178.03932</v>
      </c>
      <c r="AC44" s="91">
        <f t="shared" si="10"/>
        <v>2898.53578</v>
      </c>
      <c r="AD44" s="91">
        <f t="shared" si="10"/>
        <v>2760.17972</v>
      </c>
      <c r="AE44" s="91">
        <f t="shared" si="10"/>
        <v>1280.60306</v>
      </c>
      <c r="AF44" s="92">
        <f t="shared" si="10"/>
        <v>135.71464</v>
      </c>
      <c r="AG44" s="93">
        <f t="shared" si="6"/>
        <v>116966.7847</v>
      </c>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7"/>
      <c r="AG45" s="94"/>
    </row>
    <row r="46">
      <c r="A46" s="95" t="s">
        <v>256</v>
      </c>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7"/>
      <c r="AG46" s="94"/>
    </row>
    <row r="47">
      <c r="A47" s="129" t="s">
        <v>274</v>
      </c>
      <c r="B47" s="96">
        <f t="shared" ref="B47:AF47" si="11">B14*86.58</f>
        <v>3549.78</v>
      </c>
      <c r="C47" s="96">
        <f t="shared" si="11"/>
        <v>2683.98</v>
      </c>
      <c r="D47" s="96">
        <f t="shared" si="11"/>
        <v>2597.4</v>
      </c>
      <c r="E47" s="96">
        <f t="shared" si="11"/>
        <v>3376.62</v>
      </c>
      <c r="F47" s="96">
        <f t="shared" si="11"/>
        <v>2077.92</v>
      </c>
      <c r="G47" s="96">
        <f t="shared" si="11"/>
        <v>2597.4</v>
      </c>
      <c r="H47" s="96">
        <f t="shared" si="11"/>
        <v>2164.5</v>
      </c>
      <c r="I47" s="96">
        <f t="shared" si="11"/>
        <v>1991.34</v>
      </c>
      <c r="J47" s="96">
        <f t="shared" si="11"/>
        <v>1645.02</v>
      </c>
      <c r="K47" s="96">
        <f t="shared" si="11"/>
        <v>1471.86</v>
      </c>
      <c r="L47" s="96">
        <f t="shared" si="11"/>
        <v>865.8</v>
      </c>
      <c r="M47" s="96">
        <f t="shared" si="11"/>
        <v>1212.12</v>
      </c>
      <c r="N47" s="96">
        <f t="shared" si="11"/>
        <v>1125.54</v>
      </c>
      <c r="O47" s="96">
        <f t="shared" si="11"/>
        <v>1038.96</v>
      </c>
      <c r="P47" s="96">
        <f t="shared" si="11"/>
        <v>1904.76</v>
      </c>
      <c r="Q47" s="96">
        <f t="shared" si="11"/>
        <v>1125.54</v>
      </c>
      <c r="R47" s="96">
        <f t="shared" si="11"/>
        <v>952.38</v>
      </c>
      <c r="S47" s="96">
        <f t="shared" si="11"/>
        <v>1298.7</v>
      </c>
      <c r="T47" s="96">
        <f t="shared" si="11"/>
        <v>432.9</v>
      </c>
      <c r="U47" s="96">
        <f t="shared" si="11"/>
        <v>1558.44</v>
      </c>
      <c r="V47" s="96">
        <f t="shared" si="11"/>
        <v>1471.86</v>
      </c>
      <c r="W47" s="96">
        <f t="shared" si="11"/>
        <v>2510.82</v>
      </c>
      <c r="X47" s="96">
        <f t="shared" si="11"/>
        <v>1645.02</v>
      </c>
      <c r="Y47" s="96">
        <f t="shared" si="11"/>
        <v>1038.96</v>
      </c>
      <c r="Z47" s="96">
        <f t="shared" si="11"/>
        <v>1558.44</v>
      </c>
      <c r="AA47" s="96">
        <f t="shared" si="11"/>
        <v>1558.44</v>
      </c>
      <c r="AB47" s="96">
        <f t="shared" si="11"/>
        <v>1298.7</v>
      </c>
      <c r="AC47" s="96">
        <f t="shared" si="11"/>
        <v>1731.6</v>
      </c>
      <c r="AD47" s="96">
        <f t="shared" si="11"/>
        <v>1298.7</v>
      </c>
      <c r="AE47" s="96">
        <f t="shared" si="11"/>
        <v>1125.54</v>
      </c>
      <c r="AF47" s="113">
        <f t="shared" si="11"/>
        <v>1125.54</v>
      </c>
      <c r="AG47" s="64">
        <f t="shared" ref="AG47:AG49" si="13">SUM(B47:AF47)</f>
        <v>52034.58</v>
      </c>
    </row>
    <row r="48">
      <c r="A48" s="114" t="s">
        <v>296</v>
      </c>
      <c r="B48" s="115">
        <f t="shared" ref="B48:AF48" si="12">B14*10</f>
        <v>410</v>
      </c>
      <c r="C48" s="115">
        <f t="shared" si="12"/>
        <v>310</v>
      </c>
      <c r="D48" s="115">
        <f t="shared" si="12"/>
        <v>300</v>
      </c>
      <c r="E48" s="115">
        <f t="shared" si="12"/>
        <v>390</v>
      </c>
      <c r="F48" s="115">
        <f t="shared" si="12"/>
        <v>240</v>
      </c>
      <c r="G48" s="115">
        <f t="shared" si="12"/>
        <v>300</v>
      </c>
      <c r="H48" s="115">
        <f t="shared" si="12"/>
        <v>250</v>
      </c>
      <c r="I48" s="115">
        <f t="shared" si="12"/>
        <v>230</v>
      </c>
      <c r="J48" s="115">
        <f t="shared" si="12"/>
        <v>190</v>
      </c>
      <c r="K48" s="115">
        <f t="shared" si="12"/>
        <v>170</v>
      </c>
      <c r="L48" s="115">
        <f t="shared" si="12"/>
        <v>100</v>
      </c>
      <c r="M48" s="115">
        <f t="shared" si="12"/>
        <v>140</v>
      </c>
      <c r="N48" s="115">
        <f t="shared" si="12"/>
        <v>130</v>
      </c>
      <c r="O48" s="115">
        <f t="shared" si="12"/>
        <v>120</v>
      </c>
      <c r="P48" s="115">
        <f t="shared" si="12"/>
        <v>220</v>
      </c>
      <c r="Q48" s="115">
        <f t="shared" si="12"/>
        <v>130</v>
      </c>
      <c r="R48" s="115">
        <f t="shared" si="12"/>
        <v>110</v>
      </c>
      <c r="S48" s="115">
        <f t="shared" si="12"/>
        <v>150</v>
      </c>
      <c r="T48" s="115">
        <f t="shared" si="12"/>
        <v>50</v>
      </c>
      <c r="U48" s="115">
        <f t="shared" si="12"/>
        <v>180</v>
      </c>
      <c r="V48" s="115">
        <f t="shared" si="12"/>
        <v>170</v>
      </c>
      <c r="W48" s="115">
        <f t="shared" si="12"/>
        <v>290</v>
      </c>
      <c r="X48" s="115">
        <f t="shared" si="12"/>
        <v>190</v>
      </c>
      <c r="Y48" s="115">
        <f t="shared" si="12"/>
        <v>120</v>
      </c>
      <c r="Z48" s="115">
        <f t="shared" si="12"/>
        <v>180</v>
      </c>
      <c r="AA48" s="115">
        <f t="shared" si="12"/>
        <v>180</v>
      </c>
      <c r="AB48" s="115">
        <f t="shared" si="12"/>
        <v>150</v>
      </c>
      <c r="AC48" s="115">
        <f t="shared" si="12"/>
        <v>200</v>
      </c>
      <c r="AD48" s="115">
        <f t="shared" si="12"/>
        <v>150</v>
      </c>
      <c r="AE48" s="115">
        <f t="shared" si="12"/>
        <v>130</v>
      </c>
      <c r="AF48" s="118">
        <f t="shared" si="12"/>
        <v>130</v>
      </c>
      <c r="AG48" s="90">
        <f t="shared" si="13"/>
        <v>6010</v>
      </c>
    </row>
    <row r="49">
      <c r="A49" s="24" t="s">
        <v>26</v>
      </c>
      <c r="B49" s="91">
        <f t="shared" ref="B49:AF49" si="14">SUM(B47:B48)</f>
        <v>3959.78</v>
      </c>
      <c r="C49" s="91">
        <f t="shared" si="14"/>
        <v>2993.98</v>
      </c>
      <c r="D49" s="91">
        <f t="shared" si="14"/>
        <v>2897.4</v>
      </c>
      <c r="E49" s="91">
        <f t="shared" si="14"/>
        <v>3766.62</v>
      </c>
      <c r="F49" s="91">
        <f t="shared" si="14"/>
        <v>2317.92</v>
      </c>
      <c r="G49" s="91">
        <f t="shared" si="14"/>
        <v>2897.4</v>
      </c>
      <c r="H49" s="91">
        <f t="shared" si="14"/>
        <v>2414.5</v>
      </c>
      <c r="I49" s="91">
        <f t="shared" si="14"/>
        <v>2221.34</v>
      </c>
      <c r="J49" s="91">
        <f t="shared" si="14"/>
        <v>1835.02</v>
      </c>
      <c r="K49" s="91">
        <f t="shared" si="14"/>
        <v>1641.86</v>
      </c>
      <c r="L49" s="91">
        <f t="shared" si="14"/>
        <v>965.8</v>
      </c>
      <c r="M49" s="91">
        <f t="shared" si="14"/>
        <v>1352.12</v>
      </c>
      <c r="N49" s="91">
        <f t="shared" si="14"/>
        <v>1255.54</v>
      </c>
      <c r="O49" s="91">
        <f t="shared" si="14"/>
        <v>1158.96</v>
      </c>
      <c r="P49" s="91">
        <f t="shared" si="14"/>
        <v>2124.76</v>
      </c>
      <c r="Q49" s="91">
        <f t="shared" si="14"/>
        <v>1255.54</v>
      </c>
      <c r="R49" s="91">
        <f t="shared" si="14"/>
        <v>1062.38</v>
      </c>
      <c r="S49" s="91">
        <f t="shared" si="14"/>
        <v>1448.7</v>
      </c>
      <c r="T49" s="91">
        <f t="shared" si="14"/>
        <v>482.9</v>
      </c>
      <c r="U49" s="91">
        <f t="shared" si="14"/>
        <v>1738.44</v>
      </c>
      <c r="V49" s="91">
        <f t="shared" si="14"/>
        <v>1641.86</v>
      </c>
      <c r="W49" s="91">
        <f t="shared" si="14"/>
        <v>2800.82</v>
      </c>
      <c r="X49" s="91">
        <f t="shared" si="14"/>
        <v>1835.02</v>
      </c>
      <c r="Y49" s="91">
        <f t="shared" si="14"/>
        <v>1158.96</v>
      </c>
      <c r="Z49" s="91">
        <f t="shared" si="14"/>
        <v>1738.44</v>
      </c>
      <c r="AA49" s="91">
        <f t="shared" si="14"/>
        <v>1738.44</v>
      </c>
      <c r="AB49" s="91">
        <f t="shared" si="14"/>
        <v>1448.7</v>
      </c>
      <c r="AC49" s="91">
        <f t="shared" si="14"/>
        <v>1931.6</v>
      </c>
      <c r="AD49" s="91">
        <f t="shared" si="14"/>
        <v>1448.7</v>
      </c>
      <c r="AE49" s="91">
        <f t="shared" si="14"/>
        <v>1255.54</v>
      </c>
      <c r="AF49" s="92">
        <f t="shared" si="14"/>
        <v>1255.54</v>
      </c>
      <c r="AG49" s="93">
        <f t="shared" si="13"/>
        <v>58044.58</v>
      </c>
    </row>
    <row r="50">
      <c r="A50" s="2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c r="AA50" s="134"/>
      <c r="AB50" s="134"/>
      <c r="AC50" s="134"/>
      <c r="AD50" s="134"/>
      <c r="AE50" s="134"/>
      <c r="AF50" s="135"/>
      <c r="AG50" s="134"/>
    </row>
    <row r="51">
      <c r="A51" s="60" t="s">
        <v>350</v>
      </c>
      <c r="B51" s="136">
        <f t="shared" ref="B51:AF51" si="15">B26-B44-B49</f>
        <v>-109.62558</v>
      </c>
      <c r="C51" s="136">
        <f t="shared" si="15"/>
        <v>-2414.88122</v>
      </c>
      <c r="D51" s="138">
        <f t="shared" si="15"/>
        <v>124.49846</v>
      </c>
      <c r="E51" s="136">
        <f t="shared" si="15"/>
        <v>-407.4401</v>
      </c>
      <c r="F51" s="136">
        <f t="shared" si="15"/>
        <v>-3769.35748</v>
      </c>
      <c r="G51" s="136">
        <f t="shared" si="15"/>
        <v>-1369.81248</v>
      </c>
      <c r="H51" s="136">
        <f t="shared" si="15"/>
        <v>-563.5657</v>
      </c>
      <c r="I51" s="138">
        <f t="shared" si="15"/>
        <v>98.23108</v>
      </c>
      <c r="J51" s="136">
        <f t="shared" si="15"/>
        <v>-1394.5062</v>
      </c>
      <c r="K51" s="136">
        <f t="shared" si="15"/>
        <v>-1679.59916</v>
      </c>
      <c r="L51" s="136">
        <f t="shared" si="15"/>
        <v>-2403.84116</v>
      </c>
      <c r="M51" s="136">
        <f t="shared" si="15"/>
        <v>-803.41704</v>
      </c>
      <c r="N51" s="138">
        <f t="shared" si="15"/>
        <v>-725.68788</v>
      </c>
      <c r="O51" s="136">
        <f t="shared" si="15"/>
        <v>-927.40062</v>
      </c>
      <c r="P51" s="138">
        <f t="shared" si="15"/>
        <v>953.31102</v>
      </c>
      <c r="Q51" s="136">
        <f t="shared" si="15"/>
        <v>-581.29816</v>
      </c>
      <c r="R51" s="136">
        <f t="shared" si="15"/>
        <v>-981.02468</v>
      </c>
      <c r="S51" s="136">
        <f t="shared" si="15"/>
        <v>-906.05632</v>
      </c>
      <c r="T51" s="136">
        <f t="shared" si="15"/>
        <v>-2447.19464</v>
      </c>
      <c r="U51" s="136">
        <f t="shared" si="15"/>
        <v>-455.43586</v>
      </c>
      <c r="V51" s="136">
        <f t="shared" si="15"/>
        <v>-536.09578</v>
      </c>
      <c r="W51" s="138">
        <f t="shared" si="15"/>
        <v>160.1966</v>
      </c>
      <c r="X51" s="138">
        <f t="shared" si="15"/>
        <v>113.73176</v>
      </c>
      <c r="Y51" s="136">
        <f t="shared" si="15"/>
        <v>-1441.78986</v>
      </c>
      <c r="Z51" s="136">
        <f t="shared" si="15"/>
        <v>-4492.45542</v>
      </c>
      <c r="AA51" s="136">
        <f t="shared" si="15"/>
        <v>-473.49578</v>
      </c>
      <c r="AB51" s="138">
        <f t="shared" si="15"/>
        <v>7.08068</v>
      </c>
      <c r="AC51" s="136">
        <f t="shared" si="15"/>
        <v>-457.60578</v>
      </c>
      <c r="AD51" s="138">
        <f t="shared" si="15"/>
        <v>535.34028</v>
      </c>
      <c r="AE51" s="138">
        <f t="shared" si="15"/>
        <v>5111.66694</v>
      </c>
      <c r="AF51" s="140">
        <f t="shared" si="15"/>
        <v>1112.38536</v>
      </c>
      <c r="AG51" s="93">
        <f>SUM(B51:AF51)</f>
        <v>-21125.14472</v>
      </c>
    </row>
    <row r="52">
      <c r="A52" s="136">
        <f>SUM(B51:AF51)</f>
        <v>-21125.14472</v>
      </c>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7"/>
      <c r="AG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7"/>
      <c r="AG53" s="24"/>
    </row>
    <row r="54">
      <c r="A54" s="141"/>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3"/>
      <c r="AG54" s="141"/>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7"/>
      <c r="AG55" s="24"/>
    </row>
    <row r="56">
      <c r="A56" s="144" t="s">
        <v>366</v>
      </c>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7"/>
      <c r="AG56" s="24"/>
    </row>
    <row r="57">
      <c r="A57" s="145" t="s">
        <v>367</v>
      </c>
      <c r="B57" s="138">
        <f t="shared" ref="B57:AF57" si="16">B17-B29-B30-B193-B194-B195-B196-B197</f>
        <v>1562.174204</v>
      </c>
      <c r="C57" s="138">
        <f t="shared" si="16"/>
        <v>327.6938768</v>
      </c>
      <c r="D57" s="138">
        <f t="shared" si="16"/>
        <v>530.504124</v>
      </c>
      <c r="E57" s="138">
        <f t="shared" si="16"/>
        <v>1322.5319</v>
      </c>
      <c r="F57" s="138">
        <f t="shared" si="16"/>
        <v>527.7188375</v>
      </c>
      <c r="G57" s="138">
        <f t="shared" si="16"/>
        <v>1664.155842</v>
      </c>
      <c r="H57" s="138">
        <f t="shared" si="16"/>
        <v>639.816284</v>
      </c>
      <c r="I57" s="138">
        <f t="shared" si="16"/>
        <v>1041.747988</v>
      </c>
      <c r="J57" s="138">
        <f t="shared" si="16"/>
        <v>294.1491474</v>
      </c>
      <c r="K57" s="138">
        <f t="shared" si="16"/>
        <v>1131.272796</v>
      </c>
      <c r="L57" s="138">
        <f t="shared" si="16"/>
        <v>315.332688</v>
      </c>
      <c r="M57" s="138">
        <f t="shared" si="16"/>
        <v>725.1921257</v>
      </c>
      <c r="N57" s="138">
        <f t="shared" si="16"/>
        <v>258.81472</v>
      </c>
      <c r="O57" s="138">
        <f t="shared" si="16"/>
        <v>58.19031333</v>
      </c>
      <c r="P57" s="138">
        <f t="shared" si="16"/>
        <v>1680.497031</v>
      </c>
      <c r="Q57" s="138">
        <f t="shared" si="16"/>
        <v>276.61422</v>
      </c>
      <c r="R57" s="138">
        <f t="shared" si="16"/>
        <v>324.76722</v>
      </c>
      <c r="S57" s="138">
        <f t="shared" si="16"/>
        <v>825.5699627</v>
      </c>
      <c r="T57" s="136">
        <f t="shared" si="16"/>
        <v>-38.170128</v>
      </c>
      <c r="U57" s="138">
        <f t="shared" si="16"/>
        <v>400.56211</v>
      </c>
      <c r="V57" s="138">
        <f t="shared" si="16"/>
        <v>443.0850059</v>
      </c>
      <c r="W57" s="138">
        <f t="shared" si="16"/>
        <v>1616.946752</v>
      </c>
      <c r="X57" s="138">
        <f t="shared" si="16"/>
        <v>1170.811623</v>
      </c>
      <c r="Y57" s="138">
        <f t="shared" si="16"/>
        <v>370.70407</v>
      </c>
      <c r="Z57" s="136">
        <f t="shared" si="16"/>
        <v>-85.96798667</v>
      </c>
      <c r="AA57" s="138">
        <f t="shared" si="16"/>
        <v>468.6953822</v>
      </c>
      <c r="AB57" s="138">
        <f t="shared" si="16"/>
        <v>590.1521813</v>
      </c>
      <c r="AC57" s="138">
        <f t="shared" si="16"/>
        <v>1111.188555</v>
      </c>
      <c r="AD57" s="138">
        <f t="shared" si="16"/>
        <v>689.1734267</v>
      </c>
      <c r="AE57" s="138">
        <f t="shared" si="16"/>
        <v>1306.3838</v>
      </c>
      <c r="AF57" s="140">
        <f t="shared" si="16"/>
        <v>613.0636</v>
      </c>
      <c r="AG57" s="146">
        <f>SUM(B57:AF57)</f>
        <v>22163.37167</v>
      </c>
    </row>
    <row r="58">
      <c r="A58" s="145" t="s">
        <v>372</v>
      </c>
      <c r="B58" s="147">
        <f t="shared" ref="B58:AG58" si="17">B17/B29</f>
        <v>7.24919425</v>
      </c>
      <c r="C58" s="147">
        <f t="shared" si="17"/>
        <v>4.013983012</v>
      </c>
      <c r="D58" s="147">
        <f t="shared" si="17"/>
        <v>5.554970329</v>
      </c>
      <c r="E58" s="147">
        <f t="shared" si="17"/>
        <v>9.014520269</v>
      </c>
      <c r="F58" s="147">
        <f t="shared" si="17"/>
        <v>4.273684846</v>
      </c>
      <c r="G58" s="147">
        <f t="shared" si="17"/>
        <v>12.40444361</v>
      </c>
      <c r="H58" s="147">
        <f t="shared" si="17"/>
        <v>6.418510281</v>
      </c>
      <c r="I58" s="147">
        <f t="shared" si="17"/>
        <v>10.03358141</v>
      </c>
      <c r="J58" s="147">
        <f t="shared" si="17"/>
        <v>4.125140255</v>
      </c>
      <c r="K58" s="147">
        <f t="shared" si="17"/>
        <v>6.973794024</v>
      </c>
      <c r="L58" s="147">
        <f t="shared" si="17"/>
        <v>4.112692419</v>
      </c>
      <c r="M58" s="147">
        <f t="shared" si="17"/>
        <v>5.18266011</v>
      </c>
      <c r="N58" s="147">
        <f t="shared" si="17"/>
        <v>2.767553996</v>
      </c>
      <c r="O58" s="147">
        <f t="shared" si="17"/>
        <v>1.897598085</v>
      </c>
      <c r="P58" s="147">
        <f t="shared" si="17"/>
        <v>8.219401484</v>
      </c>
      <c r="Q58" s="147">
        <f t="shared" si="17"/>
        <v>2.878768765</v>
      </c>
      <c r="R58" s="147">
        <f t="shared" si="17"/>
        <v>3.654912041</v>
      </c>
      <c r="S58" s="147">
        <f t="shared" si="17"/>
        <v>7.821661238</v>
      </c>
      <c r="T58" s="147">
        <f t="shared" si="17"/>
        <v>1.376195726</v>
      </c>
      <c r="U58" s="147">
        <f t="shared" si="17"/>
        <v>4.379752714</v>
      </c>
      <c r="V58" s="147">
        <f t="shared" si="17"/>
        <v>3.14332384</v>
      </c>
      <c r="W58" s="147">
        <f t="shared" si="17"/>
        <v>6.793216419</v>
      </c>
      <c r="X58" s="147">
        <f t="shared" si="17"/>
        <v>4.590972622</v>
      </c>
      <c r="Y58" s="147">
        <f t="shared" si="17"/>
        <v>2.782370057</v>
      </c>
      <c r="Z58" s="147">
        <f t="shared" si="17"/>
        <v>1.653278306</v>
      </c>
      <c r="AA58" s="147">
        <f t="shared" si="17"/>
        <v>10.17055561</v>
      </c>
      <c r="AB58" s="147">
        <f t="shared" si="17"/>
        <v>12.33619521</v>
      </c>
      <c r="AC58" s="147">
        <f t="shared" si="17"/>
        <v>19.18101024</v>
      </c>
      <c r="AD58" s="147">
        <f t="shared" si="17"/>
        <v>21.73166123</v>
      </c>
      <c r="AE58" s="147">
        <f t="shared" si="17"/>
        <v>35.63020385</v>
      </c>
      <c r="AF58" s="148">
        <f t="shared" si="17"/>
        <v>20.41811847</v>
      </c>
      <c r="AG58" s="149">
        <f t="shared" si="17"/>
        <v>5.642613602</v>
      </c>
    </row>
    <row r="59">
      <c r="A59" s="145" t="s">
        <v>375</v>
      </c>
      <c r="B59" s="150">
        <f t="shared" ref="B59:AF59" si="18">B29/B5</f>
        <v>48.8675</v>
      </c>
      <c r="C59" s="150">
        <f t="shared" si="18"/>
        <v>54.35166667</v>
      </c>
      <c r="D59" s="150">
        <f t="shared" si="18"/>
        <v>40.68428571</v>
      </c>
      <c r="E59" s="150">
        <f t="shared" si="18"/>
        <v>31.60333333</v>
      </c>
      <c r="F59" s="150">
        <f t="shared" si="18"/>
        <v>66.266</v>
      </c>
      <c r="G59" s="150">
        <f t="shared" si="18"/>
        <v>20.42692308</v>
      </c>
      <c r="H59" s="150">
        <f t="shared" si="18"/>
        <v>36.61285714</v>
      </c>
      <c r="I59" s="150">
        <f t="shared" si="18"/>
        <v>24.48444444</v>
      </c>
      <c r="J59" s="150">
        <f t="shared" si="18"/>
        <v>50.50333333</v>
      </c>
      <c r="K59" s="150">
        <f t="shared" si="18"/>
        <v>49.925</v>
      </c>
      <c r="L59" s="150">
        <f t="shared" si="18"/>
        <v>49.18571429</v>
      </c>
      <c r="M59" s="150">
        <f t="shared" si="18"/>
        <v>55.24833333</v>
      </c>
      <c r="N59" s="150">
        <f t="shared" si="18"/>
        <v>116.83</v>
      </c>
      <c r="O59" s="150">
        <f t="shared" si="18"/>
        <v>175.485</v>
      </c>
      <c r="P59" s="150">
        <f t="shared" si="18"/>
        <v>40.87888889</v>
      </c>
      <c r="Q59" s="150">
        <f t="shared" si="18"/>
        <v>99.0875</v>
      </c>
      <c r="R59" s="150">
        <f t="shared" si="18"/>
        <v>62.245</v>
      </c>
      <c r="S59" s="150">
        <f t="shared" si="18"/>
        <v>30.7</v>
      </c>
      <c r="T59" s="150">
        <f t="shared" si="18"/>
        <v>281.21</v>
      </c>
      <c r="U59" s="150">
        <f t="shared" si="18"/>
        <v>49.22</v>
      </c>
      <c r="V59" s="150">
        <f t="shared" si="18"/>
        <v>95.504</v>
      </c>
      <c r="W59" s="150">
        <f t="shared" si="18"/>
        <v>39.91538462</v>
      </c>
      <c r="X59" s="150">
        <f t="shared" si="18"/>
        <v>67.57222222</v>
      </c>
      <c r="Y59" s="150">
        <f t="shared" si="18"/>
        <v>100.8133333</v>
      </c>
      <c r="Z59" s="150">
        <f t="shared" si="18"/>
        <v>135.69</v>
      </c>
      <c r="AA59" s="150">
        <f t="shared" si="18"/>
        <v>23.8925</v>
      </c>
      <c r="AB59" s="150">
        <f t="shared" si="18"/>
        <v>22.13</v>
      </c>
      <c r="AC59" s="150">
        <f t="shared" si="18"/>
        <v>17.778</v>
      </c>
      <c r="AD59" s="150">
        <f t="shared" si="18"/>
        <v>11.642</v>
      </c>
      <c r="AE59" s="150">
        <f t="shared" si="18"/>
        <v>6.966</v>
      </c>
      <c r="AF59" s="151">
        <f t="shared" si="18"/>
        <v>11.48</v>
      </c>
      <c r="AG59" s="24"/>
    </row>
    <row r="60">
      <c r="A60" s="145" t="s">
        <v>377</v>
      </c>
      <c r="B60" s="152">
        <f t="shared" ref="B60:AF60" si="19">B17/(B29+B30+B193+B194+B195+B196+B197)</f>
        <v>2.228292592</v>
      </c>
      <c r="C60" s="152">
        <f t="shared" si="19"/>
        <v>1.333936443</v>
      </c>
      <c r="D60" s="152">
        <f t="shared" si="19"/>
        <v>1.504523257</v>
      </c>
      <c r="E60" s="152">
        <f t="shared" si="19"/>
        <v>2.065296724</v>
      </c>
      <c r="F60" s="152">
        <f t="shared" si="19"/>
        <v>1.594089867</v>
      </c>
      <c r="G60" s="152">
        <f t="shared" si="19"/>
        <v>2.021052126</v>
      </c>
      <c r="H60" s="152">
        <f t="shared" si="19"/>
        <v>1.636516762</v>
      </c>
      <c r="I60" s="152">
        <f t="shared" si="19"/>
        <v>1.890952487</v>
      </c>
      <c r="J60" s="152">
        <f t="shared" si="19"/>
        <v>1.307735403</v>
      </c>
      <c r="K60" s="152">
        <f t="shared" si="19"/>
        <v>2.181205663</v>
      </c>
      <c r="L60" s="152">
        <f t="shared" si="19"/>
        <v>1.28649228</v>
      </c>
      <c r="M60" s="152">
        <f t="shared" si="19"/>
        <v>1.730445582</v>
      </c>
      <c r="N60" s="152">
        <f t="shared" si="19"/>
        <v>1.363920243</v>
      </c>
      <c r="O60" s="152">
        <f t="shared" si="19"/>
        <v>1.09573772</v>
      </c>
      <c r="P60" s="152">
        <f t="shared" si="19"/>
        <v>2.250832391</v>
      </c>
      <c r="Q60" s="152">
        <f t="shared" si="19"/>
        <v>1.32001246</v>
      </c>
      <c r="R60" s="152">
        <f t="shared" si="19"/>
        <v>1.312206293</v>
      </c>
      <c r="S60" s="152">
        <f t="shared" si="19"/>
        <v>1.753649192</v>
      </c>
      <c r="T60" s="152">
        <f t="shared" si="19"/>
        <v>0.9102238716</v>
      </c>
      <c r="U60" s="152">
        <f t="shared" si="19"/>
        <v>1.361375332</v>
      </c>
      <c r="V60" s="152">
        <f t="shared" si="19"/>
        <v>1.418828553</v>
      </c>
      <c r="W60" s="152">
        <f t="shared" si="19"/>
        <v>1.847432719</v>
      </c>
      <c r="X60" s="152">
        <f t="shared" si="19"/>
        <v>1.722193448</v>
      </c>
      <c r="Y60" s="152">
        <f t="shared" si="19"/>
        <v>1.282485118</v>
      </c>
      <c r="Z60" s="152">
        <f t="shared" si="19"/>
        <v>0.8867304179</v>
      </c>
      <c r="AA60" s="152">
        <f t="shared" si="19"/>
        <v>1.931236006</v>
      </c>
      <c r="AB60" s="152">
        <f t="shared" si="19"/>
        <v>2.175958447</v>
      </c>
      <c r="AC60" s="152">
        <f t="shared" si="19"/>
        <v>2.871281809</v>
      </c>
      <c r="AD60" s="152">
        <f t="shared" si="19"/>
        <v>2.196841998</v>
      </c>
      <c r="AE60" s="152">
        <f t="shared" si="19"/>
        <v>2.111233241</v>
      </c>
      <c r="AF60" s="153">
        <f t="shared" si="19"/>
        <v>2.09683964</v>
      </c>
      <c r="AG60" s="13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7"/>
      <c r="AG61" s="24"/>
    </row>
    <row r="62">
      <c r="A62" s="154" t="s">
        <v>378</v>
      </c>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7"/>
      <c r="AG62" s="24"/>
    </row>
    <row r="63">
      <c r="A63" s="155" t="s">
        <v>367</v>
      </c>
      <c r="B63" s="156">
        <f t="shared" ref="B63:AD63" si="20">B18-B31-B32-B200-B201-B202-B203-B204</f>
        <v>0</v>
      </c>
      <c r="C63" s="156">
        <f t="shared" si="20"/>
        <v>0</v>
      </c>
      <c r="D63" s="156">
        <f t="shared" si="20"/>
        <v>0</v>
      </c>
      <c r="E63" s="156">
        <f t="shared" si="20"/>
        <v>0</v>
      </c>
      <c r="F63" s="156">
        <f t="shared" si="20"/>
        <v>0</v>
      </c>
      <c r="G63" s="156">
        <f t="shared" si="20"/>
        <v>0</v>
      </c>
      <c r="H63" s="156">
        <f t="shared" si="20"/>
        <v>0</v>
      </c>
      <c r="I63" s="156">
        <f t="shared" si="20"/>
        <v>0</v>
      </c>
      <c r="J63" s="156">
        <f t="shared" si="20"/>
        <v>0</v>
      </c>
      <c r="K63" s="156">
        <f t="shared" si="20"/>
        <v>0</v>
      </c>
      <c r="L63" s="156">
        <f t="shared" si="20"/>
        <v>0</v>
      </c>
      <c r="M63" s="156">
        <f t="shared" si="20"/>
        <v>0</v>
      </c>
      <c r="N63" s="156">
        <f t="shared" si="20"/>
        <v>0</v>
      </c>
      <c r="O63" s="156">
        <f t="shared" si="20"/>
        <v>0</v>
      </c>
      <c r="P63" s="156">
        <f t="shared" si="20"/>
        <v>0</v>
      </c>
      <c r="Q63" s="156">
        <f t="shared" si="20"/>
        <v>0</v>
      </c>
      <c r="R63" s="156">
        <f t="shared" si="20"/>
        <v>0</v>
      </c>
      <c r="S63" s="156">
        <f t="shared" si="20"/>
        <v>0</v>
      </c>
      <c r="T63" s="156">
        <f t="shared" si="20"/>
        <v>0</v>
      </c>
      <c r="U63" s="156">
        <f t="shared" si="20"/>
        <v>0</v>
      </c>
      <c r="V63" s="156">
        <f t="shared" si="20"/>
        <v>0</v>
      </c>
      <c r="W63" s="156">
        <f t="shared" si="20"/>
        <v>0</v>
      </c>
      <c r="X63" s="156">
        <f t="shared" si="20"/>
        <v>0</v>
      </c>
      <c r="Y63" s="156">
        <f t="shared" si="20"/>
        <v>0</v>
      </c>
      <c r="Z63" s="156">
        <f t="shared" si="20"/>
        <v>0</v>
      </c>
      <c r="AA63" s="156">
        <f t="shared" si="20"/>
        <v>0</v>
      </c>
      <c r="AB63" s="156">
        <f t="shared" si="20"/>
        <v>0</v>
      </c>
      <c r="AC63" s="156">
        <f t="shared" si="20"/>
        <v>0</v>
      </c>
      <c r="AD63" s="156">
        <f t="shared" si="20"/>
        <v>0</v>
      </c>
      <c r="AE63" s="157"/>
      <c r="AF63" s="158">
        <f>AF18-AF31-AF32-AF200-AF201-AF202-AF203-AF204</f>
        <v>0</v>
      </c>
      <c r="AG63" s="64">
        <f>SUM(B63:AF63)</f>
        <v>0</v>
      </c>
    </row>
    <row r="64">
      <c r="A64" s="155" t="s">
        <v>372</v>
      </c>
      <c r="B64" s="159" t="str">
        <f t="shared" ref="B64:AD64" si="21">B18/B31</f>
        <v>#DIV/0!</v>
      </c>
      <c r="C64" s="159" t="str">
        <f t="shared" si="21"/>
        <v>#DIV/0!</v>
      </c>
      <c r="D64" s="159" t="str">
        <f t="shared" si="21"/>
        <v>#DIV/0!</v>
      </c>
      <c r="E64" s="159" t="str">
        <f t="shared" si="21"/>
        <v>#DIV/0!</v>
      </c>
      <c r="F64" s="159" t="str">
        <f t="shared" si="21"/>
        <v>#DIV/0!</v>
      </c>
      <c r="G64" s="159" t="str">
        <f t="shared" si="21"/>
        <v>#DIV/0!</v>
      </c>
      <c r="H64" s="159" t="str">
        <f t="shared" si="21"/>
        <v>#DIV/0!</v>
      </c>
      <c r="I64" s="159" t="str">
        <f t="shared" si="21"/>
        <v>#DIV/0!</v>
      </c>
      <c r="J64" s="159" t="str">
        <f t="shared" si="21"/>
        <v>#DIV/0!</v>
      </c>
      <c r="K64" s="159" t="str">
        <f t="shared" si="21"/>
        <v>#DIV/0!</v>
      </c>
      <c r="L64" s="159" t="str">
        <f t="shared" si="21"/>
        <v>#DIV/0!</v>
      </c>
      <c r="M64" s="159" t="str">
        <f t="shared" si="21"/>
        <v>#DIV/0!</v>
      </c>
      <c r="N64" s="159" t="str">
        <f t="shared" si="21"/>
        <v>#DIV/0!</v>
      </c>
      <c r="O64" s="159" t="str">
        <f t="shared" si="21"/>
        <v>#DIV/0!</v>
      </c>
      <c r="P64" s="159" t="str">
        <f t="shared" si="21"/>
        <v>#DIV/0!</v>
      </c>
      <c r="Q64" s="159" t="str">
        <f t="shared" si="21"/>
        <v>#DIV/0!</v>
      </c>
      <c r="R64" s="159" t="str">
        <f t="shared" si="21"/>
        <v>#DIV/0!</v>
      </c>
      <c r="S64" s="159" t="str">
        <f t="shared" si="21"/>
        <v>#DIV/0!</v>
      </c>
      <c r="T64" s="159" t="str">
        <f t="shared" si="21"/>
        <v>#DIV/0!</v>
      </c>
      <c r="U64" s="159" t="str">
        <f t="shared" si="21"/>
        <v>#DIV/0!</v>
      </c>
      <c r="V64" s="159" t="str">
        <f t="shared" si="21"/>
        <v>#DIV/0!</v>
      </c>
      <c r="W64" s="159" t="str">
        <f t="shared" si="21"/>
        <v>#DIV/0!</v>
      </c>
      <c r="X64" s="159" t="str">
        <f t="shared" si="21"/>
        <v>#DIV/0!</v>
      </c>
      <c r="Y64" s="159" t="str">
        <f t="shared" si="21"/>
        <v>#DIV/0!</v>
      </c>
      <c r="Z64" s="159" t="str">
        <f t="shared" si="21"/>
        <v>#DIV/0!</v>
      </c>
      <c r="AA64" s="159" t="str">
        <f t="shared" si="21"/>
        <v>#DIV/0!</v>
      </c>
      <c r="AB64" s="159" t="str">
        <f t="shared" si="21"/>
        <v>#DIV/0!</v>
      </c>
      <c r="AC64" s="159" t="str">
        <f t="shared" si="21"/>
        <v>#DIV/0!</v>
      </c>
      <c r="AD64" s="159" t="str">
        <f t="shared" si="21"/>
        <v>#DIV/0!</v>
      </c>
      <c r="AE64" s="160"/>
      <c r="AF64" s="161" t="str">
        <f t="shared" ref="AF64:AG64" si="22">AF18/AF31</f>
        <v>#DIV/0!</v>
      </c>
      <c r="AG64" s="162" t="str">
        <f t="shared" si="22"/>
        <v>#DIV/0!</v>
      </c>
    </row>
    <row r="65">
      <c r="A65" s="155" t="s">
        <v>375</v>
      </c>
      <c r="B65" s="163" t="str">
        <f t="shared" ref="B65:AD65" si="23">B31/B6</f>
        <v>#DIV/0!</v>
      </c>
      <c r="C65" s="163" t="str">
        <f t="shared" si="23"/>
        <v>#DIV/0!</v>
      </c>
      <c r="D65" s="163" t="str">
        <f t="shared" si="23"/>
        <v>#DIV/0!</v>
      </c>
      <c r="E65" s="163" t="str">
        <f t="shared" si="23"/>
        <v>#DIV/0!</v>
      </c>
      <c r="F65" s="163" t="str">
        <f t="shared" si="23"/>
        <v>#DIV/0!</v>
      </c>
      <c r="G65" s="163" t="str">
        <f t="shared" si="23"/>
        <v>#DIV/0!</v>
      </c>
      <c r="H65" s="163" t="str">
        <f t="shared" si="23"/>
        <v>#DIV/0!</v>
      </c>
      <c r="I65" s="163" t="str">
        <f t="shared" si="23"/>
        <v>#DIV/0!</v>
      </c>
      <c r="J65" s="163" t="str">
        <f t="shared" si="23"/>
        <v>#DIV/0!</v>
      </c>
      <c r="K65" s="163" t="str">
        <f t="shared" si="23"/>
        <v>#DIV/0!</v>
      </c>
      <c r="L65" s="163" t="str">
        <f t="shared" si="23"/>
        <v>#DIV/0!</v>
      </c>
      <c r="M65" s="163" t="str">
        <f t="shared" si="23"/>
        <v>#DIV/0!</v>
      </c>
      <c r="N65" s="163" t="str">
        <f t="shared" si="23"/>
        <v>#DIV/0!</v>
      </c>
      <c r="O65" s="163" t="str">
        <f t="shared" si="23"/>
        <v>#DIV/0!</v>
      </c>
      <c r="P65" s="163" t="str">
        <f t="shared" si="23"/>
        <v>#DIV/0!</v>
      </c>
      <c r="Q65" s="163" t="str">
        <f t="shared" si="23"/>
        <v>#DIV/0!</v>
      </c>
      <c r="R65" s="163" t="str">
        <f t="shared" si="23"/>
        <v>#DIV/0!</v>
      </c>
      <c r="S65" s="163" t="str">
        <f t="shared" si="23"/>
        <v>#DIV/0!</v>
      </c>
      <c r="T65" s="163" t="str">
        <f t="shared" si="23"/>
        <v>#DIV/0!</v>
      </c>
      <c r="U65" s="163" t="str">
        <f t="shared" si="23"/>
        <v>#DIV/0!</v>
      </c>
      <c r="V65" s="163" t="str">
        <f t="shared" si="23"/>
        <v>#DIV/0!</v>
      </c>
      <c r="W65" s="163" t="str">
        <f t="shared" si="23"/>
        <v>#DIV/0!</v>
      </c>
      <c r="X65" s="163" t="str">
        <f t="shared" si="23"/>
        <v>#DIV/0!</v>
      </c>
      <c r="Y65" s="163" t="str">
        <f t="shared" si="23"/>
        <v>#DIV/0!</v>
      </c>
      <c r="Z65" s="163" t="str">
        <f t="shared" si="23"/>
        <v>#DIV/0!</v>
      </c>
      <c r="AA65" s="163" t="str">
        <f t="shared" si="23"/>
        <v>#DIV/0!</v>
      </c>
      <c r="AB65" s="163" t="str">
        <f t="shared" si="23"/>
        <v>#DIV/0!</v>
      </c>
      <c r="AC65" s="163" t="str">
        <f t="shared" si="23"/>
        <v>#DIV/0!</v>
      </c>
      <c r="AD65" s="163" t="str">
        <f t="shared" si="23"/>
        <v>#DIV/0!</v>
      </c>
      <c r="AE65" s="157"/>
      <c r="AF65" s="164" t="str">
        <f>AF31/AF6</f>
        <v>#DIV/0!</v>
      </c>
      <c r="AG65" s="24"/>
    </row>
    <row r="66">
      <c r="A66" s="155" t="s">
        <v>377</v>
      </c>
      <c r="B66" s="159" t="str">
        <f t="shared" ref="B66:AD66" si="24">B18/(B31+B32+B200+B201+B202+B203+B204)</f>
        <v>#DIV/0!</v>
      </c>
      <c r="C66" s="159" t="str">
        <f t="shared" si="24"/>
        <v>#DIV/0!</v>
      </c>
      <c r="D66" s="159" t="str">
        <f t="shared" si="24"/>
        <v>#DIV/0!</v>
      </c>
      <c r="E66" s="159" t="str">
        <f t="shared" si="24"/>
        <v>#DIV/0!</v>
      </c>
      <c r="F66" s="159" t="str">
        <f t="shared" si="24"/>
        <v>#DIV/0!</v>
      </c>
      <c r="G66" s="159" t="str">
        <f t="shared" si="24"/>
        <v>#DIV/0!</v>
      </c>
      <c r="H66" s="159" t="str">
        <f t="shared" si="24"/>
        <v>#DIV/0!</v>
      </c>
      <c r="I66" s="159" t="str">
        <f t="shared" si="24"/>
        <v>#DIV/0!</v>
      </c>
      <c r="J66" s="159" t="str">
        <f t="shared" si="24"/>
        <v>#DIV/0!</v>
      </c>
      <c r="K66" s="159" t="str">
        <f t="shared" si="24"/>
        <v>#DIV/0!</v>
      </c>
      <c r="L66" s="159" t="str">
        <f t="shared" si="24"/>
        <v>#DIV/0!</v>
      </c>
      <c r="M66" s="159" t="str">
        <f t="shared" si="24"/>
        <v>#DIV/0!</v>
      </c>
      <c r="N66" s="159" t="str">
        <f t="shared" si="24"/>
        <v>#DIV/0!</v>
      </c>
      <c r="O66" s="159" t="str">
        <f t="shared" si="24"/>
        <v>#DIV/0!</v>
      </c>
      <c r="P66" s="159" t="str">
        <f t="shared" si="24"/>
        <v>#DIV/0!</v>
      </c>
      <c r="Q66" s="159" t="str">
        <f t="shared" si="24"/>
        <v>#DIV/0!</v>
      </c>
      <c r="R66" s="159" t="str">
        <f t="shared" si="24"/>
        <v>#DIV/0!</v>
      </c>
      <c r="S66" s="159" t="str">
        <f t="shared" si="24"/>
        <v>#DIV/0!</v>
      </c>
      <c r="T66" s="159" t="str">
        <f t="shared" si="24"/>
        <v>#DIV/0!</v>
      </c>
      <c r="U66" s="159" t="str">
        <f t="shared" si="24"/>
        <v>#DIV/0!</v>
      </c>
      <c r="V66" s="159" t="str">
        <f t="shared" si="24"/>
        <v>#DIV/0!</v>
      </c>
      <c r="W66" s="159" t="str">
        <f t="shared" si="24"/>
        <v>#DIV/0!</v>
      </c>
      <c r="X66" s="159" t="str">
        <f t="shared" si="24"/>
        <v>#DIV/0!</v>
      </c>
      <c r="Y66" s="159" t="str">
        <f t="shared" si="24"/>
        <v>#DIV/0!</v>
      </c>
      <c r="Z66" s="159" t="str">
        <f t="shared" si="24"/>
        <v>#DIV/0!</v>
      </c>
      <c r="AA66" s="159" t="str">
        <f t="shared" si="24"/>
        <v>#DIV/0!</v>
      </c>
      <c r="AB66" s="159" t="str">
        <f t="shared" si="24"/>
        <v>#DIV/0!</v>
      </c>
      <c r="AC66" s="159" t="str">
        <f t="shared" si="24"/>
        <v>#DIV/0!</v>
      </c>
      <c r="AD66" s="159" t="str">
        <f t="shared" si="24"/>
        <v>#DIV/0!</v>
      </c>
      <c r="AE66" s="160"/>
      <c r="AF66" s="161" t="str">
        <f>AF18/(AF31+AF32+AF200+AF201+AF202+AF203+AF204)</f>
        <v>#DIV/0!</v>
      </c>
      <c r="AG66" s="13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7"/>
      <c r="AG67" s="134"/>
    </row>
    <row r="68">
      <c r="A68" s="165" t="s">
        <v>379</v>
      </c>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7"/>
      <c r="AG68" s="24"/>
    </row>
    <row r="69">
      <c r="A69" s="166" t="s">
        <v>367</v>
      </c>
      <c r="B69" s="156">
        <f t="shared" ref="B69:AD69" si="25">B19-B33-B34-B207-B208-B209-B210-B211</f>
        <v>0</v>
      </c>
      <c r="C69" s="156">
        <f t="shared" si="25"/>
        <v>0</v>
      </c>
      <c r="D69" s="156">
        <f t="shared" si="25"/>
        <v>0</v>
      </c>
      <c r="E69" s="156">
        <f t="shared" si="25"/>
        <v>0</v>
      </c>
      <c r="F69" s="156">
        <f t="shared" si="25"/>
        <v>0</v>
      </c>
      <c r="G69" s="156">
        <f t="shared" si="25"/>
        <v>0</v>
      </c>
      <c r="H69" s="156">
        <f t="shared" si="25"/>
        <v>0</v>
      </c>
      <c r="I69" s="156">
        <f t="shared" si="25"/>
        <v>0</v>
      </c>
      <c r="J69" s="156">
        <f t="shared" si="25"/>
        <v>0</v>
      </c>
      <c r="K69" s="156">
        <f t="shared" si="25"/>
        <v>0</v>
      </c>
      <c r="L69" s="156">
        <f t="shared" si="25"/>
        <v>0</v>
      </c>
      <c r="M69" s="156">
        <f t="shared" si="25"/>
        <v>0</v>
      </c>
      <c r="N69" s="156">
        <f t="shared" si="25"/>
        <v>0</v>
      </c>
      <c r="O69" s="156">
        <f t="shared" si="25"/>
        <v>0</v>
      </c>
      <c r="P69" s="156">
        <f t="shared" si="25"/>
        <v>0</v>
      </c>
      <c r="Q69" s="156">
        <f t="shared" si="25"/>
        <v>0</v>
      </c>
      <c r="R69" s="156">
        <f t="shared" si="25"/>
        <v>0</v>
      </c>
      <c r="S69" s="156">
        <f t="shared" si="25"/>
        <v>0</v>
      </c>
      <c r="T69" s="156">
        <f t="shared" si="25"/>
        <v>0</v>
      </c>
      <c r="U69" s="156">
        <f t="shared" si="25"/>
        <v>0</v>
      </c>
      <c r="V69" s="156">
        <f t="shared" si="25"/>
        <v>0</v>
      </c>
      <c r="W69" s="156">
        <f t="shared" si="25"/>
        <v>0</v>
      </c>
      <c r="X69" s="156">
        <f t="shared" si="25"/>
        <v>0</v>
      </c>
      <c r="Y69" s="156">
        <f t="shared" si="25"/>
        <v>0</v>
      </c>
      <c r="Z69" s="156">
        <f t="shared" si="25"/>
        <v>0</v>
      </c>
      <c r="AA69" s="156">
        <f t="shared" si="25"/>
        <v>0</v>
      </c>
      <c r="AB69" s="156">
        <f t="shared" si="25"/>
        <v>0</v>
      </c>
      <c r="AC69" s="156">
        <f t="shared" si="25"/>
        <v>0</v>
      </c>
      <c r="AD69" s="156">
        <f t="shared" si="25"/>
        <v>0</v>
      </c>
      <c r="AE69" s="157"/>
      <c r="AF69" s="158">
        <f>AF19-AF33-AF34-AF207-AF208-AF209-AF210-AF211</f>
        <v>0</v>
      </c>
      <c r="AG69" s="64">
        <f>SUM(B69:AF69)</f>
        <v>0</v>
      </c>
    </row>
    <row r="70">
      <c r="A70" s="166" t="s">
        <v>372</v>
      </c>
      <c r="B70" s="159" t="str">
        <f t="shared" ref="B70:AD70" si="26">B19/B33</f>
        <v>#DIV/0!</v>
      </c>
      <c r="C70" s="159" t="str">
        <f t="shared" si="26"/>
        <v>#DIV/0!</v>
      </c>
      <c r="D70" s="159" t="str">
        <f t="shared" si="26"/>
        <v>#DIV/0!</v>
      </c>
      <c r="E70" s="159" t="str">
        <f t="shared" si="26"/>
        <v>#DIV/0!</v>
      </c>
      <c r="F70" s="159" t="str">
        <f t="shared" si="26"/>
        <v>#DIV/0!</v>
      </c>
      <c r="G70" s="159" t="str">
        <f t="shared" si="26"/>
        <v>#DIV/0!</v>
      </c>
      <c r="H70" s="159" t="str">
        <f t="shared" si="26"/>
        <v>#DIV/0!</v>
      </c>
      <c r="I70" s="159" t="str">
        <f t="shared" si="26"/>
        <v>#DIV/0!</v>
      </c>
      <c r="J70" s="159" t="str">
        <f t="shared" si="26"/>
        <v>#DIV/0!</v>
      </c>
      <c r="K70" s="159" t="str">
        <f t="shared" si="26"/>
        <v>#DIV/0!</v>
      </c>
      <c r="L70" s="159" t="str">
        <f t="shared" si="26"/>
        <v>#DIV/0!</v>
      </c>
      <c r="M70" s="159" t="str">
        <f t="shared" si="26"/>
        <v>#DIV/0!</v>
      </c>
      <c r="N70" s="159" t="str">
        <f t="shared" si="26"/>
        <v>#DIV/0!</v>
      </c>
      <c r="O70" s="159" t="str">
        <f t="shared" si="26"/>
        <v>#DIV/0!</v>
      </c>
      <c r="P70" s="159" t="str">
        <f t="shared" si="26"/>
        <v>#DIV/0!</v>
      </c>
      <c r="Q70" s="159" t="str">
        <f t="shared" si="26"/>
        <v>#DIV/0!</v>
      </c>
      <c r="R70" s="159" t="str">
        <f t="shared" si="26"/>
        <v>#DIV/0!</v>
      </c>
      <c r="S70" s="159" t="str">
        <f t="shared" si="26"/>
        <v>#DIV/0!</v>
      </c>
      <c r="T70" s="159" t="str">
        <f t="shared" si="26"/>
        <v>#DIV/0!</v>
      </c>
      <c r="U70" s="159" t="str">
        <f t="shared" si="26"/>
        <v>#DIV/0!</v>
      </c>
      <c r="V70" s="159" t="str">
        <f t="shared" si="26"/>
        <v>#DIV/0!</v>
      </c>
      <c r="W70" s="159" t="str">
        <f t="shared" si="26"/>
        <v>#DIV/0!</v>
      </c>
      <c r="X70" s="159" t="str">
        <f t="shared" si="26"/>
        <v>#DIV/0!</v>
      </c>
      <c r="Y70" s="159" t="str">
        <f t="shared" si="26"/>
        <v>#DIV/0!</v>
      </c>
      <c r="Z70" s="159" t="str">
        <f t="shared" si="26"/>
        <v>#DIV/0!</v>
      </c>
      <c r="AA70" s="159" t="str">
        <f t="shared" si="26"/>
        <v>#DIV/0!</v>
      </c>
      <c r="AB70" s="159" t="str">
        <f t="shared" si="26"/>
        <v>#DIV/0!</v>
      </c>
      <c r="AC70" s="159" t="str">
        <f t="shared" si="26"/>
        <v>#DIV/0!</v>
      </c>
      <c r="AD70" s="159" t="str">
        <f t="shared" si="26"/>
        <v>#DIV/0!</v>
      </c>
      <c r="AE70" s="160"/>
      <c r="AF70" s="161" t="str">
        <f t="shared" ref="AF70:AG70" si="27">AF19/AF33</f>
        <v>#DIV/0!</v>
      </c>
      <c r="AG70" s="162" t="str">
        <f t="shared" si="27"/>
        <v>#DIV/0!</v>
      </c>
    </row>
    <row r="71">
      <c r="A71" s="166" t="s">
        <v>375</v>
      </c>
      <c r="B71" s="163" t="str">
        <f t="shared" ref="B71:AD71" si="28">B33/B7</f>
        <v>#DIV/0!</v>
      </c>
      <c r="C71" s="163" t="str">
        <f t="shared" si="28"/>
        <v>#DIV/0!</v>
      </c>
      <c r="D71" s="163" t="str">
        <f t="shared" si="28"/>
        <v>#DIV/0!</v>
      </c>
      <c r="E71" s="163" t="str">
        <f t="shared" si="28"/>
        <v>#DIV/0!</v>
      </c>
      <c r="F71" s="163" t="str">
        <f t="shared" si="28"/>
        <v>#DIV/0!</v>
      </c>
      <c r="G71" s="163" t="str">
        <f t="shared" si="28"/>
        <v>#DIV/0!</v>
      </c>
      <c r="H71" s="163" t="str">
        <f t="shared" si="28"/>
        <v>#DIV/0!</v>
      </c>
      <c r="I71" s="163" t="str">
        <f t="shared" si="28"/>
        <v>#DIV/0!</v>
      </c>
      <c r="J71" s="163" t="str">
        <f t="shared" si="28"/>
        <v>#DIV/0!</v>
      </c>
      <c r="K71" s="163" t="str">
        <f t="shared" si="28"/>
        <v>#DIV/0!</v>
      </c>
      <c r="L71" s="163" t="str">
        <f t="shared" si="28"/>
        <v>#DIV/0!</v>
      </c>
      <c r="M71" s="163" t="str">
        <f t="shared" si="28"/>
        <v>#DIV/0!</v>
      </c>
      <c r="N71" s="163" t="str">
        <f t="shared" si="28"/>
        <v>#DIV/0!</v>
      </c>
      <c r="O71" s="163" t="str">
        <f t="shared" si="28"/>
        <v>#DIV/0!</v>
      </c>
      <c r="P71" s="163" t="str">
        <f t="shared" si="28"/>
        <v>#DIV/0!</v>
      </c>
      <c r="Q71" s="163" t="str">
        <f t="shared" si="28"/>
        <v>#DIV/0!</v>
      </c>
      <c r="R71" s="163" t="str">
        <f t="shared" si="28"/>
        <v>#DIV/0!</v>
      </c>
      <c r="S71" s="163" t="str">
        <f t="shared" si="28"/>
        <v>#DIV/0!</v>
      </c>
      <c r="T71" s="163" t="str">
        <f t="shared" si="28"/>
        <v>#DIV/0!</v>
      </c>
      <c r="U71" s="163" t="str">
        <f t="shared" si="28"/>
        <v>#DIV/0!</v>
      </c>
      <c r="V71" s="163" t="str">
        <f t="shared" si="28"/>
        <v>#DIV/0!</v>
      </c>
      <c r="W71" s="163" t="str">
        <f t="shared" si="28"/>
        <v>#DIV/0!</v>
      </c>
      <c r="X71" s="163" t="str">
        <f t="shared" si="28"/>
        <v>#DIV/0!</v>
      </c>
      <c r="Y71" s="163" t="str">
        <f t="shared" si="28"/>
        <v>#DIV/0!</v>
      </c>
      <c r="Z71" s="163" t="str">
        <f t="shared" si="28"/>
        <v>#DIV/0!</v>
      </c>
      <c r="AA71" s="163" t="str">
        <f t="shared" si="28"/>
        <v>#DIV/0!</v>
      </c>
      <c r="AB71" s="163" t="str">
        <f t="shared" si="28"/>
        <v>#DIV/0!</v>
      </c>
      <c r="AC71" s="163" t="str">
        <f t="shared" si="28"/>
        <v>#DIV/0!</v>
      </c>
      <c r="AD71" s="163" t="str">
        <f t="shared" si="28"/>
        <v>#DIV/0!</v>
      </c>
      <c r="AE71" s="157"/>
      <c r="AF71" s="164" t="str">
        <f>AF33/AF7</f>
        <v>#DIV/0!</v>
      </c>
      <c r="AG71" s="24"/>
    </row>
    <row r="72">
      <c r="A72" s="166" t="s">
        <v>377</v>
      </c>
      <c r="B72" s="159" t="str">
        <f t="shared" ref="B72:AD72" si="29">B19/(B33+B34+B207+B208+B209+B210+B211)</f>
        <v>#DIV/0!</v>
      </c>
      <c r="C72" s="159" t="str">
        <f t="shared" si="29"/>
        <v>#DIV/0!</v>
      </c>
      <c r="D72" s="159" t="str">
        <f t="shared" si="29"/>
        <v>#DIV/0!</v>
      </c>
      <c r="E72" s="159" t="str">
        <f t="shared" si="29"/>
        <v>#DIV/0!</v>
      </c>
      <c r="F72" s="159" t="str">
        <f t="shared" si="29"/>
        <v>#DIV/0!</v>
      </c>
      <c r="G72" s="159" t="str">
        <f t="shared" si="29"/>
        <v>#DIV/0!</v>
      </c>
      <c r="H72" s="159" t="str">
        <f t="shared" si="29"/>
        <v>#DIV/0!</v>
      </c>
      <c r="I72" s="159" t="str">
        <f t="shared" si="29"/>
        <v>#DIV/0!</v>
      </c>
      <c r="J72" s="159" t="str">
        <f t="shared" si="29"/>
        <v>#DIV/0!</v>
      </c>
      <c r="K72" s="159" t="str">
        <f t="shared" si="29"/>
        <v>#DIV/0!</v>
      </c>
      <c r="L72" s="159" t="str">
        <f t="shared" si="29"/>
        <v>#DIV/0!</v>
      </c>
      <c r="M72" s="159" t="str">
        <f t="shared" si="29"/>
        <v>#DIV/0!</v>
      </c>
      <c r="N72" s="159" t="str">
        <f t="shared" si="29"/>
        <v>#DIV/0!</v>
      </c>
      <c r="O72" s="159" t="str">
        <f t="shared" si="29"/>
        <v>#DIV/0!</v>
      </c>
      <c r="P72" s="159" t="str">
        <f t="shared" si="29"/>
        <v>#DIV/0!</v>
      </c>
      <c r="Q72" s="159" t="str">
        <f t="shared" si="29"/>
        <v>#DIV/0!</v>
      </c>
      <c r="R72" s="159" t="str">
        <f t="shared" si="29"/>
        <v>#DIV/0!</v>
      </c>
      <c r="S72" s="159" t="str">
        <f t="shared" si="29"/>
        <v>#DIV/0!</v>
      </c>
      <c r="T72" s="159" t="str">
        <f t="shared" si="29"/>
        <v>#DIV/0!</v>
      </c>
      <c r="U72" s="159" t="str">
        <f t="shared" si="29"/>
        <v>#DIV/0!</v>
      </c>
      <c r="V72" s="159" t="str">
        <f t="shared" si="29"/>
        <v>#DIV/0!</v>
      </c>
      <c r="W72" s="159" t="str">
        <f t="shared" si="29"/>
        <v>#DIV/0!</v>
      </c>
      <c r="X72" s="159" t="str">
        <f t="shared" si="29"/>
        <v>#DIV/0!</v>
      </c>
      <c r="Y72" s="159" t="str">
        <f t="shared" si="29"/>
        <v>#DIV/0!</v>
      </c>
      <c r="Z72" s="159" t="str">
        <f t="shared" si="29"/>
        <v>#DIV/0!</v>
      </c>
      <c r="AA72" s="159" t="str">
        <f t="shared" si="29"/>
        <v>#DIV/0!</v>
      </c>
      <c r="AB72" s="159" t="str">
        <f t="shared" si="29"/>
        <v>#DIV/0!</v>
      </c>
      <c r="AC72" s="159" t="str">
        <f t="shared" si="29"/>
        <v>#DIV/0!</v>
      </c>
      <c r="AD72" s="159" t="str">
        <f t="shared" si="29"/>
        <v>#DIV/0!</v>
      </c>
      <c r="AE72" s="160"/>
      <c r="AF72" s="161" t="str">
        <f>AF19/(AF33+AF34+AF207+AF208+AF209+AF210+AF211)</f>
        <v>#DIV/0!</v>
      </c>
      <c r="AG72" s="134"/>
    </row>
    <row r="73">
      <c r="A73" s="24"/>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c r="AA73" s="167"/>
      <c r="AB73" s="167"/>
      <c r="AC73" s="167"/>
      <c r="AD73" s="167"/>
      <c r="AE73" s="167"/>
      <c r="AF73" s="168"/>
      <c r="AG73" s="24"/>
    </row>
    <row r="74">
      <c r="A74" s="169" t="s">
        <v>380</v>
      </c>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7"/>
      <c r="AG74" s="24"/>
    </row>
    <row r="75">
      <c r="A75" s="170" t="s">
        <v>367</v>
      </c>
      <c r="B75" s="136">
        <f t="shared" ref="B75:AF75" si="30">B20-B35-B214-B215-B216-B217-B218</f>
        <v>-1118.09968</v>
      </c>
      <c r="C75" s="136">
        <f t="shared" si="30"/>
        <v>-2338.15446</v>
      </c>
      <c r="D75" s="136">
        <f t="shared" si="30"/>
        <v>-1043.03406</v>
      </c>
      <c r="E75" s="136">
        <f t="shared" si="30"/>
        <v>-544.1589</v>
      </c>
      <c r="F75" s="136">
        <f t="shared" si="30"/>
        <v>-1981.17212</v>
      </c>
      <c r="G75" s="136">
        <f t="shared" si="30"/>
        <v>-610.73164</v>
      </c>
      <c r="H75" s="138">
        <f t="shared" si="30"/>
        <v>370.2292</v>
      </c>
      <c r="I75" s="96">
        <f t="shared" si="30"/>
        <v>0</v>
      </c>
      <c r="J75" s="136">
        <f t="shared" si="30"/>
        <v>-259.84996</v>
      </c>
      <c r="K75" s="136">
        <f t="shared" si="30"/>
        <v>-936.46216</v>
      </c>
      <c r="L75" s="136">
        <f t="shared" si="30"/>
        <v>-955.94</v>
      </c>
      <c r="M75" s="136">
        <f t="shared" si="30"/>
        <v>-774.7154</v>
      </c>
      <c r="N75" s="136">
        <f t="shared" si="30"/>
        <v>-1228.72234</v>
      </c>
      <c r="O75" s="136">
        <f t="shared" si="30"/>
        <v>-316.36462</v>
      </c>
      <c r="P75" s="136">
        <f t="shared" si="30"/>
        <v>-515.50242</v>
      </c>
      <c r="Q75" s="136">
        <f t="shared" si="30"/>
        <v>-403.75882</v>
      </c>
      <c r="R75" s="136">
        <f t="shared" si="30"/>
        <v>-134.85456</v>
      </c>
      <c r="S75" s="136">
        <f t="shared" si="30"/>
        <v>-585.53</v>
      </c>
      <c r="T75" s="136">
        <f t="shared" si="30"/>
        <v>-417.34</v>
      </c>
      <c r="U75" s="96">
        <f t="shared" si="30"/>
        <v>0</v>
      </c>
      <c r="V75" s="96">
        <f t="shared" si="30"/>
        <v>0</v>
      </c>
      <c r="W75" s="96">
        <f t="shared" si="30"/>
        <v>0</v>
      </c>
      <c r="X75" s="96">
        <f t="shared" si="30"/>
        <v>0</v>
      </c>
      <c r="Y75" s="96">
        <f t="shared" si="30"/>
        <v>0</v>
      </c>
      <c r="Z75" s="96">
        <f t="shared" si="30"/>
        <v>0</v>
      </c>
      <c r="AA75" s="96">
        <f t="shared" si="30"/>
        <v>0</v>
      </c>
      <c r="AB75" s="96">
        <f t="shared" si="30"/>
        <v>0</v>
      </c>
      <c r="AC75" s="96">
        <f t="shared" si="30"/>
        <v>0</v>
      </c>
      <c r="AD75" s="96">
        <f t="shared" si="30"/>
        <v>0</v>
      </c>
      <c r="AE75" s="96">
        <f t="shared" si="30"/>
        <v>0</v>
      </c>
      <c r="AF75" s="113">
        <f t="shared" si="30"/>
        <v>0</v>
      </c>
      <c r="AG75" s="171">
        <f>SUM(B75:AF75)</f>
        <v>-13794.16194</v>
      </c>
    </row>
    <row r="76">
      <c r="A76" s="170" t="s">
        <v>372</v>
      </c>
      <c r="B76" s="147">
        <f t="shared" ref="B76:AG76" si="31">B20/B35</f>
        <v>0.8647578679</v>
      </c>
      <c r="C76" s="147">
        <f t="shared" si="31"/>
        <v>0.3675568311</v>
      </c>
      <c r="D76" s="147">
        <f t="shared" si="31"/>
        <v>0.631612303</v>
      </c>
      <c r="E76" s="147">
        <f t="shared" si="31"/>
        <v>1.117545021</v>
      </c>
      <c r="F76" s="147">
        <f t="shared" si="31"/>
        <v>0.5676959809</v>
      </c>
      <c r="G76" s="147">
        <f t="shared" si="31"/>
        <v>0.5922979315</v>
      </c>
      <c r="H76" s="172" t="str">
        <f t="shared" si="31"/>
        <v>#DIV/0!</v>
      </c>
      <c r="I76" s="172" t="str">
        <f t="shared" si="31"/>
        <v>#DIV/0!</v>
      </c>
      <c r="J76" s="147">
        <f t="shared" si="31"/>
        <v>0.8875362092</v>
      </c>
      <c r="K76" s="147">
        <f t="shared" si="31"/>
        <v>0.4309465197</v>
      </c>
      <c r="L76" s="147">
        <f t="shared" si="31"/>
        <v>0</v>
      </c>
      <c r="M76" s="147">
        <f t="shared" si="31"/>
        <v>0.5016110391</v>
      </c>
      <c r="N76" s="147">
        <f t="shared" si="31"/>
        <v>0.01314322545</v>
      </c>
      <c r="O76" s="147">
        <f t="shared" si="31"/>
        <v>1.114730466</v>
      </c>
      <c r="P76" s="147">
        <f t="shared" si="31"/>
        <v>0.3287061755</v>
      </c>
      <c r="Q76" s="147">
        <f t="shared" si="31"/>
        <v>0.2455850434</v>
      </c>
      <c r="R76" s="147">
        <f t="shared" si="31"/>
        <v>0.9007936508</v>
      </c>
      <c r="S76" s="147">
        <f t="shared" si="31"/>
        <v>0</v>
      </c>
      <c r="T76" s="147">
        <f t="shared" si="31"/>
        <v>0</v>
      </c>
      <c r="U76" s="172" t="str">
        <f t="shared" si="31"/>
        <v>#DIV/0!</v>
      </c>
      <c r="V76" s="172" t="str">
        <f t="shared" si="31"/>
        <v>#DIV/0!</v>
      </c>
      <c r="W76" s="172" t="str">
        <f t="shared" si="31"/>
        <v>#DIV/0!</v>
      </c>
      <c r="X76" s="172" t="str">
        <f t="shared" si="31"/>
        <v>#DIV/0!</v>
      </c>
      <c r="Y76" s="172" t="str">
        <f t="shared" si="31"/>
        <v>#DIV/0!</v>
      </c>
      <c r="Z76" s="172" t="str">
        <f t="shared" si="31"/>
        <v>#DIV/0!</v>
      </c>
      <c r="AA76" s="172" t="str">
        <f t="shared" si="31"/>
        <v>#DIV/0!</v>
      </c>
      <c r="AB76" s="172" t="str">
        <f t="shared" si="31"/>
        <v>#DIV/0!</v>
      </c>
      <c r="AC76" s="172" t="str">
        <f t="shared" si="31"/>
        <v>#DIV/0!</v>
      </c>
      <c r="AD76" s="172" t="str">
        <f t="shared" si="31"/>
        <v>#DIV/0!</v>
      </c>
      <c r="AE76" s="172" t="str">
        <f t="shared" si="31"/>
        <v>#DIV/0!</v>
      </c>
      <c r="AF76" s="173" t="str">
        <f t="shared" si="31"/>
        <v>#DIV/0!</v>
      </c>
      <c r="AG76" s="149">
        <f t="shared" si="31"/>
        <v>0.5792225051</v>
      </c>
    </row>
    <row r="77">
      <c r="A77" s="170" t="s">
        <v>375</v>
      </c>
      <c r="B77" s="150">
        <f t="shared" ref="B77:AF77" si="32">B35/B8</f>
        <v>408.4842857</v>
      </c>
      <c r="C77" s="150">
        <f t="shared" si="32"/>
        <v>371.8414286</v>
      </c>
      <c r="D77" s="150">
        <f t="shared" si="32"/>
        <v>429.975</v>
      </c>
      <c r="E77" s="150">
        <f t="shared" si="32"/>
        <v>198.4771429</v>
      </c>
      <c r="F77" s="150">
        <f t="shared" si="32"/>
        <v>279.2222222</v>
      </c>
      <c r="G77" s="150">
        <f t="shared" si="32"/>
        <v>496.49</v>
      </c>
      <c r="H77" s="150">
        <f t="shared" si="32"/>
        <v>0</v>
      </c>
      <c r="I77" s="174" t="str">
        <f t="shared" si="32"/>
        <v>#DIV/0!</v>
      </c>
      <c r="J77" s="150">
        <f t="shared" si="32"/>
        <v>255.46</v>
      </c>
      <c r="K77" s="150">
        <f t="shared" si="32"/>
        <v>373.72</v>
      </c>
      <c r="L77" s="174" t="str">
        <f t="shared" si="32"/>
        <v>#DIV/0!</v>
      </c>
      <c r="M77" s="150">
        <f t="shared" si="32"/>
        <v>571.06</v>
      </c>
      <c r="N77" s="150">
        <f t="shared" si="32"/>
        <v>1148.12</v>
      </c>
      <c r="O77" s="150">
        <f t="shared" si="32"/>
        <v>189.03</v>
      </c>
      <c r="P77" s="150">
        <f t="shared" si="32"/>
        <v>618.09</v>
      </c>
      <c r="Q77" s="150">
        <f t="shared" si="32"/>
        <v>405.44</v>
      </c>
      <c r="R77" s="150">
        <f t="shared" si="32"/>
        <v>322.56</v>
      </c>
      <c r="S77" s="174" t="str">
        <f t="shared" si="32"/>
        <v>#DIV/0!</v>
      </c>
      <c r="T77" s="174" t="str">
        <f t="shared" si="32"/>
        <v>#DIV/0!</v>
      </c>
      <c r="U77" s="174" t="str">
        <f t="shared" si="32"/>
        <v>#DIV/0!</v>
      </c>
      <c r="V77" s="174" t="str">
        <f t="shared" si="32"/>
        <v>#DIV/0!</v>
      </c>
      <c r="W77" s="174" t="str">
        <f t="shared" si="32"/>
        <v>#DIV/0!</v>
      </c>
      <c r="X77" s="174" t="str">
        <f t="shared" si="32"/>
        <v>#DIV/0!</v>
      </c>
      <c r="Y77" s="174" t="str">
        <f t="shared" si="32"/>
        <v>#DIV/0!</v>
      </c>
      <c r="Z77" s="174" t="str">
        <f t="shared" si="32"/>
        <v>#DIV/0!</v>
      </c>
      <c r="AA77" s="174" t="str">
        <f t="shared" si="32"/>
        <v>#DIV/0!</v>
      </c>
      <c r="AB77" s="174" t="str">
        <f t="shared" si="32"/>
        <v>#DIV/0!</v>
      </c>
      <c r="AC77" s="174" t="str">
        <f t="shared" si="32"/>
        <v>#DIV/0!</v>
      </c>
      <c r="AD77" s="174" t="str">
        <f t="shared" si="32"/>
        <v>#DIV/0!</v>
      </c>
      <c r="AE77" s="174" t="str">
        <f t="shared" si="32"/>
        <v>#DIV/0!</v>
      </c>
      <c r="AF77" s="175" t="str">
        <f t="shared" si="32"/>
        <v>#DIV/0!</v>
      </c>
      <c r="AG77" s="24"/>
    </row>
    <row r="78">
      <c r="A78" s="170" t="s">
        <v>377</v>
      </c>
      <c r="B78" s="152">
        <f t="shared" ref="B78:AF78" si="33">B20/(B35+B214+B215+B216+B217+B218)</f>
        <v>0.6886192472</v>
      </c>
      <c r="C78" s="152">
        <f t="shared" si="33"/>
        <v>0.2903639927</v>
      </c>
      <c r="D78" s="152">
        <f t="shared" si="33"/>
        <v>0.5101618007</v>
      </c>
      <c r="E78" s="152">
        <f t="shared" si="33"/>
        <v>0.7404823587</v>
      </c>
      <c r="F78" s="152">
        <f t="shared" si="33"/>
        <v>0.4186346907</v>
      </c>
      <c r="G78" s="152">
        <f t="shared" si="33"/>
        <v>0.4905779571</v>
      </c>
      <c r="H78" s="152">
        <f t="shared" si="33"/>
        <v>2.800981462</v>
      </c>
      <c r="I78" s="176" t="str">
        <f t="shared" si="33"/>
        <v>#DIV/0!</v>
      </c>
      <c r="J78" s="152">
        <f t="shared" si="33"/>
        <v>0.6357124188</v>
      </c>
      <c r="K78" s="152">
        <f t="shared" si="33"/>
        <v>0.3403440814</v>
      </c>
      <c r="L78" s="152">
        <f t="shared" si="33"/>
        <v>0</v>
      </c>
      <c r="M78" s="152">
        <f t="shared" si="33"/>
        <v>0.425121292</v>
      </c>
      <c r="N78" s="152">
        <f t="shared" si="33"/>
        <v>0.01213205523</v>
      </c>
      <c r="O78" s="152">
        <f t="shared" si="33"/>
        <v>0.7270918117</v>
      </c>
      <c r="P78" s="152">
        <f t="shared" si="33"/>
        <v>0.2827018184</v>
      </c>
      <c r="Q78" s="152">
        <f t="shared" si="33"/>
        <v>0.1978229659</v>
      </c>
      <c r="R78" s="152">
        <f t="shared" si="33"/>
        <v>0.6830043617</v>
      </c>
      <c r="S78" s="152">
        <f t="shared" si="33"/>
        <v>0</v>
      </c>
      <c r="T78" s="152">
        <f t="shared" si="33"/>
        <v>0</v>
      </c>
      <c r="U78" s="176" t="str">
        <f t="shared" si="33"/>
        <v>#DIV/0!</v>
      </c>
      <c r="V78" s="176" t="str">
        <f t="shared" si="33"/>
        <v>#DIV/0!</v>
      </c>
      <c r="W78" s="176" t="str">
        <f t="shared" si="33"/>
        <v>#DIV/0!</v>
      </c>
      <c r="X78" s="176" t="str">
        <f t="shared" si="33"/>
        <v>#DIV/0!</v>
      </c>
      <c r="Y78" s="176" t="str">
        <f t="shared" si="33"/>
        <v>#DIV/0!</v>
      </c>
      <c r="Z78" s="176" t="str">
        <f t="shared" si="33"/>
        <v>#DIV/0!</v>
      </c>
      <c r="AA78" s="176" t="str">
        <f t="shared" si="33"/>
        <v>#DIV/0!</v>
      </c>
      <c r="AB78" s="176" t="str">
        <f t="shared" si="33"/>
        <v>#DIV/0!</v>
      </c>
      <c r="AC78" s="176" t="str">
        <f t="shared" si="33"/>
        <v>#DIV/0!</v>
      </c>
      <c r="AD78" s="176" t="str">
        <f t="shared" si="33"/>
        <v>#DIV/0!</v>
      </c>
      <c r="AE78" s="176" t="str">
        <f t="shared" si="33"/>
        <v>#DIV/0!</v>
      </c>
      <c r="AF78" s="177" t="str">
        <f t="shared" si="33"/>
        <v>#DIV/0!</v>
      </c>
      <c r="AG78" s="134"/>
    </row>
    <row r="79">
      <c r="A79" s="24"/>
      <c r="B79" s="9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c r="AE79" s="94"/>
      <c r="AF79" s="178"/>
      <c r="AG79" s="24"/>
    </row>
    <row r="80">
      <c r="A80" s="17" t="s">
        <v>381</v>
      </c>
      <c r="B80" s="24"/>
      <c r="C80" s="24"/>
      <c r="D80" s="24"/>
      <c r="E80" s="24"/>
      <c r="F80" s="24"/>
      <c r="G80" s="24"/>
      <c r="H80" s="24"/>
      <c r="I80" s="24"/>
      <c r="J80" s="24"/>
      <c r="K80" s="24"/>
      <c r="L80" s="24"/>
      <c r="M80" s="24"/>
      <c r="N80" s="24"/>
      <c r="O80" s="24"/>
      <c r="P80" s="24"/>
      <c r="Q80" s="24"/>
      <c r="R80" s="24"/>
      <c r="S80" s="24"/>
      <c r="T80" s="24"/>
      <c r="U80" s="24"/>
      <c r="V80" s="24"/>
      <c r="W80" s="24"/>
      <c r="X80" s="24"/>
      <c r="Y80" s="24"/>
      <c r="Z80" s="179">
        <v>3.11</v>
      </c>
      <c r="AA80" s="180">
        <v>1.8</v>
      </c>
      <c r="AB80" s="24"/>
      <c r="AC80" s="24"/>
      <c r="AD80" s="24"/>
      <c r="AE80" s="24"/>
      <c r="AF80" s="27"/>
      <c r="AG80" s="24"/>
    </row>
    <row r="81">
      <c r="A81" s="181" t="s">
        <v>367</v>
      </c>
      <c r="B81" s="136">
        <f t="shared" ref="B81:AF81" si="34">B21-B36-B221-B222-B223-B224-B225</f>
        <v>-70.4809</v>
      </c>
      <c r="C81" s="136">
        <f t="shared" si="34"/>
        <v>-482.12026</v>
      </c>
      <c r="D81" s="138">
        <f t="shared" si="34"/>
        <v>675.49302</v>
      </c>
      <c r="E81" s="136">
        <f t="shared" si="34"/>
        <v>-1211.1267</v>
      </c>
      <c r="F81" s="136">
        <f t="shared" si="34"/>
        <v>-2264.81986</v>
      </c>
      <c r="G81" s="136">
        <f t="shared" si="34"/>
        <v>-2367.28434</v>
      </c>
      <c r="H81" s="136">
        <f t="shared" si="34"/>
        <v>-1630.9454</v>
      </c>
      <c r="I81" s="136">
        <f t="shared" si="34"/>
        <v>-900.94892</v>
      </c>
      <c r="J81" s="136">
        <f t="shared" si="34"/>
        <v>-1385.82324</v>
      </c>
      <c r="K81" s="136">
        <f t="shared" si="34"/>
        <v>-1809.63884</v>
      </c>
      <c r="L81" s="136">
        <f t="shared" si="34"/>
        <v>-1626.23016</v>
      </c>
      <c r="M81" s="136">
        <f t="shared" si="34"/>
        <v>-796.09196</v>
      </c>
      <c r="N81" s="138">
        <f t="shared" si="34"/>
        <v>506.08796</v>
      </c>
      <c r="O81" s="136">
        <f t="shared" si="34"/>
        <v>-713.11688</v>
      </c>
      <c r="P81" s="136">
        <f t="shared" si="34"/>
        <v>-240.0747</v>
      </c>
      <c r="Q81" s="136">
        <f t="shared" si="34"/>
        <v>-234.93084</v>
      </c>
      <c r="R81" s="136">
        <f t="shared" si="34"/>
        <v>-1027.67962</v>
      </c>
      <c r="S81" s="136">
        <f t="shared" si="34"/>
        <v>-996.68032</v>
      </c>
      <c r="T81" s="136">
        <f t="shared" si="34"/>
        <v>-1902.70114</v>
      </c>
      <c r="U81" s="136">
        <f t="shared" si="34"/>
        <v>-827.26086</v>
      </c>
      <c r="V81" s="136">
        <f t="shared" si="34"/>
        <v>-1103.94178</v>
      </c>
      <c r="W81" s="136">
        <f t="shared" si="34"/>
        <v>-1491.4224</v>
      </c>
      <c r="X81" s="136">
        <f t="shared" si="34"/>
        <v>-1017.03374</v>
      </c>
      <c r="Y81" s="136">
        <f t="shared" si="34"/>
        <v>-1891.37386</v>
      </c>
      <c r="Z81" s="136">
        <f t="shared" si="34"/>
        <v>-4352.23692</v>
      </c>
      <c r="AA81" s="136">
        <f t="shared" si="34"/>
        <v>-1177.90978</v>
      </c>
      <c r="AB81" s="136">
        <f t="shared" si="34"/>
        <v>-531.62132</v>
      </c>
      <c r="AC81" s="136">
        <f t="shared" si="34"/>
        <v>-1623.01978</v>
      </c>
      <c r="AD81" s="136">
        <f t="shared" si="34"/>
        <v>-134.86972</v>
      </c>
      <c r="AE81" s="138">
        <f t="shared" si="34"/>
        <v>3638.69494</v>
      </c>
      <c r="AF81" s="140">
        <f t="shared" si="34"/>
        <v>411.74136</v>
      </c>
      <c r="AG81" s="171">
        <f>SUM(B81:AF81)</f>
        <v>-28579.36696</v>
      </c>
    </row>
    <row r="82">
      <c r="A82" s="181" t="s">
        <v>372</v>
      </c>
      <c r="B82" s="147">
        <f t="shared" ref="B82:AG82" si="35">B21/B36</f>
        <v>1.658230274</v>
      </c>
      <c r="C82" s="147">
        <f t="shared" si="35"/>
        <v>1.40371354</v>
      </c>
      <c r="D82" s="147">
        <f t="shared" si="35"/>
        <v>1.657249927</v>
      </c>
      <c r="E82" s="147">
        <f t="shared" si="35"/>
        <v>1.248197004</v>
      </c>
      <c r="F82" s="147">
        <f t="shared" si="35"/>
        <v>0.695997525</v>
      </c>
      <c r="G82" s="147">
        <f t="shared" si="35"/>
        <v>0.8152419312</v>
      </c>
      <c r="H82" s="147">
        <f t="shared" si="35"/>
        <v>0.9698374212</v>
      </c>
      <c r="I82" s="147">
        <f t="shared" si="35"/>
        <v>1.176007358</v>
      </c>
      <c r="J82" s="147">
        <f t="shared" si="35"/>
        <v>0.9071541176</v>
      </c>
      <c r="K82" s="147">
        <f t="shared" si="35"/>
        <v>0.6154250694</v>
      </c>
      <c r="L82" s="147">
        <f t="shared" si="35"/>
        <v>0.3297747346</v>
      </c>
      <c r="M82" s="147">
        <f t="shared" si="35"/>
        <v>0.6932116211</v>
      </c>
      <c r="N82" s="147">
        <f t="shared" si="35"/>
        <v>2.117127571</v>
      </c>
      <c r="O82" s="147">
        <f t="shared" si="35"/>
        <v>0.7863394954</v>
      </c>
      <c r="P82" s="147">
        <f t="shared" si="35"/>
        <v>1.560049841</v>
      </c>
      <c r="Q82" s="147">
        <f t="shared" si="35"/>
        <v>1.365558496</v>
      </c>
      <c r="R82" s="147">
        <f t="shared" si="35"/>
        <v>0.6382031021</v>
      </c>
      <c r="S82" s="147">
        <f t="shared" si="35"/>
        <v>0.8585132133</v>
      </c>
      <c r="T82" s="147">
        <f t="shared" si="35"/>
        <v>0.3642358549</v>
      </c>
      <c r="U82" s="147">
        <f t="shared" si="35"/>
        <v>1.112161007</v>
      </c>
      <c r="V82" s="147">
        <f t="shared" si="35"/>
        <v>1.003332815</v>
      </c>
      <c r="W82" s="147">
        <f t="shared" si="35"/>
        <v>1.001056545</v>
      </c>
      <c r="X82" s="147">
        <f t="shared" si="35"/>
        <v>0.9994741767</v>
      </c>
      <c r="Y82" s="147">
        <f t="shared" si="35"/>
        <v>0.5322329747</v>
      </c>
      <c r="Z82" s="147">
        <f t="shared" si="35"/>
        <v>0.1381154446</v>
      </c>
      <c r="AA82" s="147">
        <f t="shared" si="35"/>
        <v>1.046917894</v>
      </c>
      <c r="AB82" s="147">
        <f t="shared" si="35"/>
        <v>1.172891322</v>
      </c>
      <c r="AC82" s="147">
        <f t="shared" si="35"/>
        <v>0.9163102351</v>
      </c>
      <c r="AD82" s="147">
        <f t="shared" si="35"/>
        <v>1.353450322</v>
      </c>
      <c r="AE82" s="147">
        <f t="shared" si="35"/>
        <v>4.952084748</v>
      </c>
      <c r="AF82" s="173" t="str">
        <f t="shared" si="35"/>
        <v>#DIV/0!</v>
      </c>
      <c r="AG82" s="149">
        <f t="shared" si="35"/>
        <v>1.066073314</v>
      </c>
    </row>
    <row r="83">
      <c r="A83" s="181" t="s">
        <v>375</v>
      </c>
      <c r="B83" s="150">
        <f t="shared" ref="B83:AF83" si="36">B36/B9</f>
        <v>150.5230769</v>
      </c>
      <c r="C83" s="150">
        <f t="shared" si="36"/>
        <v>182.29</v>
      </c>
      <c r="D83" s="150">
        <f t="shared" si="36"/>
        <v>213.0584211</v>
      </c>
      <c r="E83" s="150">
        <f t="shared" si="36"/>
        <v>186.5581818</v>
      </c>
      <c r="F83" s="150">
        <f t="shared" si="36"/>
        <v>407.273</v>
      </c>
      <c r="G83" s="150">
        <f t="shared" si="36"/>
        <v>303.5573333</v>
      </c>
      <c r="H83" s="150">
        <f t="shared" si="36"/>
        <v>242.508</v>
      </c>
      <c r="I83" s="150">
        <f t="shared" si="36"/>
        <v>212.7914286</v>
      </c>
      <c r="J83" s="150">
        <f t="shared" si="36"/>
        <v>263.5354545</v>
      </c>
      <c r="K83" s="150">
        <f t="shared" si="36"/>
        <v>407.4628571</v>
      </c>
      <c r="L83" s="150">
        <f t="shared" si="36"/>
        <v>658.1866667</v>
      </c>
      <c r="M83" s="150">
        <f t="shared" si="36"/>
        <v>319.3325</v>
      </c>
      <c r="N83" s="150">
        <f t="shared" si="36"/>
        <v>142.6744444</v>
      </c>
      <c r="O83" s="150">
        <f t="shared" si="36"/>
        <v>354.4525</v>
      </c>
      <c r="P83" s="150">
        <f t="shared" si="36"/>
        <v>137.236</v>
      </c>
      <c r="Q83" s="150">
        <f t="shared" si="36"/>
        <v>199.76625</v>
      </c>
      <c r="R83" s="150">
        <f t="shared" si="36"/>
        <v>427.125</v>
      </c>
      <c r="S83" s="150">
        <f t="shared" si="36"/>
        <v>287.4271429</v>
      </c>
      <c r="T83" s="150">
        <f t="shared" si="36"/>
        <v>589.515</v>
      </c>
      <c r="U83" s="150">
        <f t="shared" si="36"/>
        <v>241.39</v>
      </c>
      <c r="V83" s="150">
        <f t="shared" si="36"/>
        <v>222.3072727</v>
      </c>
      <c r="W83" s="150">
        <f t="shared" si="36"/>
        <v>165.3186667</v>
      </c>
      <c r="X83" s="150">
        <f t="shared" si="36"/>
        <v>241.526</v>
      </c>
      <c r="Y83" s="150">
        <f t="shared" si="36"/>
        <v>587.566</v>
      </c>
      <c r="Z83" s="150">
        <f t="shared" si="36"/>
        <v>225.1353333</v>
      </c>
      <c r="AA83" s="150">
        <f t="shared" si="36"/>
        <v>238.1738462</v>
      </c>
      <c r="AB83" s="150">
        <f t="shared" si="36"/>
        <v>295.92</v>
      </c>
      <c r="AC83" s="150">
        <f t="shared" si="36"/>
        <v>191.8821429</v>
      </c>
      <c r="AD83" s="150">
        <f t="shared" si="36"/>
        <v>257.063</v>
      </c>
      <c r="AE83" s="150">
        <f t="shared" si="36"/>
        <v>500.78</v>
      </c>
      <c r="AF83" s="151">
        <f t="shared" si="36"/>
        <v>0</v>
      </c>
      <c r="AG83" s="24"/>
    </row>
    <row r="84">
      <c r="A84" s="181" t="s">
        <v>377</v>
      </c>
      <c r="B84" s="152">
        <f t="shared" ref="B84:AF84" si="37">B21/(B36+B221+B222+B223+B224+B225)</f>
        <v>0.9892561748</v>
      </c>
      <c r="C84" s="152">
        <f t="shared" si="37"/>
        <v>0.9002261458</v>
      </c>
      <c r="D84" s="152">
        <f t="shared" si="37"/>
        <v>1.111961957</v>
      </c>
      <c r="E84" s="152">
        <f t="shared" si="37"/>
        <v>0.8087919112</v>
      </c>
      <c r="F84" s="152">
        <f t="shared" si="37"/>
        <v>0.555868024</v>
      </c>
      <c r="G84" s="152">
        <f t="shared" si="37"/>
        <v>0.6106039524</v>
      </c>
      <c r="H84" s="152">
        <f t="shared" si="37"/>
        <v>0.6838545695</v>
      </c>
      <c r="I84" s="152">
        <f t="shared" si="37"/>
        <v>0.7954419949</v>
      </c>
      <c r="J84" s="152">
        <f t="shared" si="37"/>
        <v>0.6548869593</v>
      </c>
      <c r="K84" s="152">
        <f t="shared" si="37"/>
        <v>0.4923844092</v>
      </c>
      <c r="L84" s="152">
        <f t="shared" si="37"/>
        <v>0.2859237786</v>
      </c>
      <c r="M84" s="152">
        <f t="shared" si="37"/>
        <v>0.5265730831</v>
      </c>
      <c r="N84" s="152">
        <f t="shared" si="37"/>
        <v>1.228745279</v>
      </c>
      <c r="O84" s="152">
        <f t="shared" si="37"/>
        <v>0.6098916318</v>
      </c>
      <c r="P84" s="152">
        <f t="shared" si="37"/>
        <v>0.8991716886</v>
      </c>
      <c r="Q84" s="152">
        <f t="shared" si="37"/>
        <v>0.902811536</v>
      </c>
      <c r="R84" s="152">
        <f t="shared" si="37"/>
        <v>0.514799082</v>
      </c>
      <c r="S84" s="152">
        <f t="shared" si="37"/>
        <v>0.6341115261</v>
      </c>
      <c r="T84" s="152">
        <f t="shared" si="37"/>
        <v>0.3110127301</v>
      </c>
      <c r="U84" s="152">
        <f t="shared" si="37"/>
        <v>0.7811693903</v>
      </c>
      <c r="V84" s="152">
        <f t="shared" si="37"/>
        <v>0.6896836157</v>
      </c>
      <c r="W84" s="152">
        <f t="shared" si="37"/>
        <v>0.6246882095</v>
      </c>
      <c r="X84" s="152">
        <f t="shared" si="37"/>
        <v>0.7035771778</v>
      </c>
      <c r="Y84" s="152">
        <f t="shared" si="37"/>
        <v>0.4525665136</v>
      </c>
      <c r="Z84" s="152">
        <f t="shared" si="37"/>
        <v>0.09679460641</v>
      </c>
      <c r="AA84" s="152">
        <f t="shared" si="37"/>
        <v>0.733470793</v>
      </c>
      <c r="AB84" s="152">
        <f t="shared" si="37"/>
        <v>0.8671757366</v>
      </c>
      <c r="AC84" s="152">
        <f t="shared" si="37"/>
        <v>0.6026441426</v>
      </c>
      <c r="AD84" s="152">
        <f t="shared" si="37"/>
        <v>0.9626822435</v>
      </c>
      <c r="AE84" s="152">
        <f t="shared" si="37"/>
        <v>3.754260435</v>
      </c>
      <c r="AF84" s="153">
        <f t="shared" si="37"/>
        <v>1.59166858</v>
      </c>
      <c r="AG84" s="134"/>
    </row>
    <row r="85">
      <c r="A85" s="24"/>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c r="AA85" s="167"/>
      <c r="AB85" s="167"/>
      <c r="AC85" s="167"/>
      <c r="AD85" s="167"/>
      <c r="AE85" s="167"/>
      <c r="AF85" s="168"/>
      <c r="AG85" s="134"/>
    </row>
    <row r="86">
      <c r="A86" s="182" t="s">
        <v>382</v>
      </c>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7"/>
      <c r="AG86" s="24"/>
    </row>
    <row r="87">
      <c r="A87" s="60" t="s">
        <v>367</v>
      </c>
      <c r="B87" s="183">
        <f t="shared" ref="B87:AF87" si="38">B25-B39-B228-B229-B230-B231-B232</f>
        <v>0</v>
      </c>
      <c r="C87" s="183">
        <f t="shared" si="38"/>
        <v>0</v>
      </c>
      <c r="D87" s="183">
        <f t="shared" si="38"/>
        <v>0</v>
      </c>
      <c r="E87" s="183">
        <f t="shared" si="38"/>
        <v>0</v>
      </c>
      <c r="F87" s="183">
        <f t="shared" si="38"/>
        <v>0</v>
      </c>
      <c r="G87" s="183">
        <f t="shared" si="38"/>
        <v>0</v>
      </c>
      <c r="H87" s="183">
        <f t="shared" si="38"/>
        <v>0</v>
      </c>
      <c r="I87" s="183">
        <f t="shared" si="38"/>
        <v>0</v>
      </c>
      <c r="J87" s="183">
        <f t="shared" si="38"/>
        <v>0</v>
      </c>
      <c r="K87" s="136">
        <f t="shared" si="38"/>
        <v>-20.71166</v>
      </c>
      <c r="L87" s="136">
        <f t="shared" si="38"/>
        <v>-117.42</v>
      </c>
      <c r="M87" s="136">
        <f t="shared" si="38"/>
        <v>-28.22218</v>
      </c>
      <c r="N87" s="136">
        <f t="shared" si="38"/>
        <v>-229.85</v>
      </c>
      <c r="O87" s="136">
        <f t="shared" si="38"/>
        <v>-89.17762</v>
      </c>
      <c r="P87" s="138">
        <f t="shared" si="38"/>
        <v>87.51864</v>
      </c>
      <c r="Q87" s="136">
        <f t="shared" si="38"/>
        <v>-188.02</v>
      </c>
      <c r="R87" s="136">
        <f t="shared" si="38"/>
        <v>-117.23</v>
      </c>
      <c r="S87" s="136">
        <f t="shared" si="38"/>
        <v>-114.32</v>
      </c>
      <c r="T87" s="136">
        <f t="shared" si="38"/>
        <v>-67.48</v>
      </c>
      <c r="U87" s="183">
        <f t="shared" si="38"/>
        <v>0</v>
      </c>
      <c r="V87" s="183">
        <f t="shared" si="38"/>
        <v>0</v>
      </c>
      <c r="W87" s="183">
        <f t="shared" si="38"/>
        <v>0</v>
      </c>
      <c r="X87" s="183">
        <f t="shared" si="38"/>
        <v>0</v>
      </c>
      <c r="Y87" s="183">
        <f t="shared" si="38"/>
        <v>0</v>
      </c>
      <c r="Z87" s="183">
        <f t="shared" si="38"/>
        <v>0</v>
      </c>
      <c r="AA87" s="183">
        <f t="shared" si="38"/>
        <v>0</v>
      </c>
      <c r="AB87" s="183">
        <f t="shared" si="38"/>
        <v>0</v>
      </c>
      <c r="AC87" s="183">
        <f t="shared" si="38"/>
        <v>0</v>
      </c>
      <c r="AD87" s="183">
        <f t="shared" si="38"/>
        <v>0</v>
      </c>
      <c r="AE87" s="183">
        <f t="shared" si="38"/>
        <v>0</v>
      </c>
      <c r="AF87" s="184">
        <f t="shared" si="38"/>
        <v>0</v>
      </c>
      <c r="AG87" s="171">
        <f>SUM(B87:AF87)</f>
        <v>-884.91282</v>
      </c>
    </row>
    <row r="88">
      <c r="A88" s="60" t="s">
        <v>372</v>
      </c>
      <c r="B88" s="172" t="str">
        <f t="shared" ref="B88:AG88" si="39">B25/B39</f>
        <v>#DIV/0!</v>
      </c>
      <c r="C88" s="172" t="str">
        <f t="shared" si="39"/>
        <v>#DIV/0!</v>
      </c>
      <c r="D88" s="172" t="str">
        <f t="shared" si="39"/>
        <v>#DIV/0!</v>
      </c>
      <c r="E88" s="172" t="str">
        <f t="shared" si="39"/>
        <v>#DIV/0!</v>
      </c>
      <c r="F88" s="172" t="str">
        <f t="shared" si="39"/>
        <v>#DIV/0!</v>
      </c>
      <c r="G88" s="172" t="str">
        <f t="shared" si="39"/>
        <v>#DIV/0!</v>
      </c>
      <c r="H88" s="172" t="str">
        <f t="shared" si="39"/>
        <v>#DIV/0!</v>
      </c>
      <c r="I88" s="172" t="str">
        <f t="shared" si="39"/>
        <v>#DIV/0!</v>
      </c>
      <c r="J88" s="172" t="str">
        <f t="shared" si="39"/>
        <v>#DIV/0!</v>
      </c>
      <c r="K88" s="147">
        <f t="shared" si="39"/>
        <v>1.726624623</v>
      </c>
      <c r="L88" s="147">
        <f t="shared" si="39"/>
        <v>0</v>
      </c>
      <c r="M88" s="147">
        <f t="shared" si="39"/>
        <v>1.615614845</v>
      </c>
      <c r="N88" s="147">
        <f t="shared" si="39"/>
        <v>0</v>
      </c>
      <c r="O88" s="147">
        <f t="shared" si="39"/>
        <v>1.053352559</v>
      </c>
      <c r="P88" s="147">
        <f t="shared" si="39"/>
        <v>2.239035367</v>
      </c>
      <c r="Q88" s="147">
        <f t="shared" si="39"/>
        <v>0</v>
      </c>
      <c r="R88" s="147">
        <f t="shared" si="39"/>
        <v>0</v>
      </c>
      <c r="S88" s="147">
        <f t="shared" si="39"/>
        <v>0</v>
      </c>
      <c r="T88" s="147">
        <f t="shared" si="39"/>
        <v>0</v>
      </c>
      <c r="U88" s="172" t="str">
        <f t="shared" si="39"/>
        <v>#DIV/0!</v>
      </c>
      <c r="V88" s="172" t="str">
        <f t="shared" si="39"/>
        <v>#DIV/0!</v>
      </c>
      <c r="W88" s="172" t="str">
        <f t="shared" si="39"/>
        <v>#DIV/0!</v>
      </c>
      <c r="X88" s="172" t="str">
        <f t="shared" si="39"/>
        <v>#DIV/0!</v>
      </c>
      <c r="Y88" s="172" t="str">
        <f t="shared" si="39"/>
        <v>#DIV/0!</v>
      </c>
      <c r="Z88" s="172" t="str">
        <f t="shared" si="39"/>
        <v>#DIV/0!</v>
      </c>
      <c r="AA88" s="172" t="str">
        <f t="shared" si="39"/>
        <v>#DIV/0!</v>
      </c>
      <c r="AB88" s="172" t="str">
        <f t="shared" si="39"/>
        <v>#DIV/0!</v>
      </c>
      <c r="AC88" s="172" t="str">
        <f t="shared" si="39"/>
        <v>#DIV/0!</v>
      </c>
      <c r="AD88" s="172" t="str">
        <f t="shared" si="39"/>
        <v>#DIV/0!</v>
      </c>
      <c r="AE88" s="172" t="str">
        <f t="shared" si="39"/>
        <v>#DIV/0!</v>
      </c>
      <c r="AF88" s="173" t="str">
        <f t="shared" si="39"/>
        <v>#DIV/0!</v>
      </c>
      <c r="AG88" s="149">
        <f t="shared" si="39"/>
        <v>0.7529879438</v>
      </c>
    </row>
    <row r="89">
      <c r="A89" s="60" t="s">
        <v>375</v>
      </c>
      <c r="B89" s="174" t="str">
        <f t="shared" ref="B89:AF89" si="40">B39/B13</f>
        <v>#DIV/0!</v>
      </c>
      <c r="C89" s="174" t="str">
        <f t="shared" si="40"/>
        <v>#DIV/0!</v>
      </c>
      <c r="D89" s="174" t="str">
        <f t="shared" si="40"/>
        <v>#DIV/0!</v>
      </c>
      <c r="E89" s="174" t="str">
        <f t="shared" si="40"/>
        <v>#DIV/0!</v>
      </c>
      <c r="F89" s="174" t="str">
        <f t="shared" si="40"/>
        <v>#DIV/0!</v>
      </c>
      <c r="G89" s="174" t="str">
        <f t="shared" si="40"/>
        <v>#DIV/0!</v>
      </c>
      <c r="H89" s="174" t="str">
        <f t="shared" si="40"/>
        <v>#DIV/0!</v>
      </c>
      <c r="I89" s="174" t="str">
        <f t="shared" si="40"/>
        <v>#DIV/0!</v>
      </c>
      <c r="J89" s="174" t="str">
        <f t="shared" si="40"/>
        <v>#DIV/0!</v>
      </c>
      <c r="K89" s="150">
        <f t="shared" si="40"/>
        <v>109.41</v>
      </c>
      <c r="L89" s="174" t="str">
        <f t="shared" si="40"/>
        <v>#DIV/0!</v>
      </c>
      <c r="M89" s="150">
        <f t="shared" si="40"/>
        <v>116.94</v>
      </c>
      <c r="N89" s="174" t="str">
        <f t="shared" si="40"/>
        <v>#DIV/0!</v>
      </c>
      <c r="O89" s="150">
        <f t="shared" si="40"/>
        <v>235.79</v>
      </c>
      <c r="P89" s="150">
        <f t="shared" si="40"/>
        <v>117.765</v>
      </c>
      <c r="Q89" s="174" t="str">
        <f t="shared" si="40"/>
        <v>#DIV/0!</v>
      </c>
      <c r="R89" s="174" t="str">
        <f t="shared" si="40"/>
        <v>#DIV/0!</v>
      </c>
      <c r="S89" s="174" t="str">
        <f t="shared" si="40"/>
        <v>#DIV/0!</v>
      </c>
      <c r="T89" s="174" t="str">
        <f t="shared" si="40"/>
        <v>#DIV/0!</v>
      </c>
      <c r="U89" s="174" t="str">
        <f t="shared" si="40"/>
        <v>#DIV/0!</v>
      </c>
      <c r="V89" s="174" t="str">
        <f t="shared" si="40"/>
        <v>#DIV/0!</v>
      </c>
      <c r="W89" s="174" t="str">
        <f t="shared" si="40"/>
        <v>#DIV/0!</v>
      </c>
      <c r="X89" s="174" t="str">
        <f t="shared" si="40"/>
        <v>#DIV/0!</v>
      </c>
      <c r="Y89" s="174" t="str">
        <f t="shared" si="40"/>
        <v>#DIV/0!</v>
      </c>
      <c r="Z89" s="174" t="str">
        <f t="shared" si="40"/>
        <v>#DIV/0!</v>
      </c>
      <c r="AA89" s="174" t="str">
        <f t="shared" si="40"/>
        <v>#DIV/0!</v>
      </c>
      <c r="AB89" s="174" t="str">
        <f t="shared" si="40"/>
        <v>#DIV/0!</v>
      </c>
      <c r="AC89" s="174" t="str">
        <f t="shared" si="40"/>
        <v>#DIV/0!</v>
      </c>
      <c r="AD89" s="174" t="str">
        <f t="shared" si="40"/>
        <v>#DIV/0!</v>
      </c>
      <c r="AE89" s="174" t="str">
        <f t="shared" si="40"/>
        <v>#DIV/0!</v>
      </c>
      <c r="AF89" s="175" t="str">
        <f t="shared" si="40"/>
        <v>#DIV/0!</v>
      </c>
      <c r="AG89" s="24"/>
    </row>
    <row r="90">
      <c r="A90" s="60" t="s">
        <v>377</v>
      </c>
      <c r="B90" s="176" t="str">
        <f t="shared" ref="B90:AF90" si="41">B25/(B39+B228+B229+B230+B231+B232)</f>
        <v>#DIV/0!</v>
      </c>
      <c r="C90" s="176" t="str">
        <f t="shared" si="41"/>
        <v>#DIV/0!</v>
      </c>
      <c r="D90" s="176" t="str">
        <f t="shared" si="41"/>
        <v>#DIV/0!</v>
      </c>
      <c r="E90" s="176" t="str">
        <f t="shared" si="41"/>
        <v>#DIV/0!</v>
      </c>
      <c r="F90" s="176" t="str">
        <f t="shared" si="41"/>
        <v>#DIV/0!</v>
      </c>
      <c r="G90" s="176" t="str">
        <f t="shared" si="41"/>
        <v>#DIV/0!</v>
      </c>
      <c r="H90" s="176" t="str">
        <f t="shared" si="41"/>
        <v>#DIV/0!</v>
      </c>
      <c r="I90" s="176" t="str">
        <f t="shared" si="41"/>
        <v>#DIV/0!</v>
      </c>
      <c r="J90" s="176" t="str">
        <f t="shared" si="41"/>
        <v>#DIV/0!</v>
      </c>
      <c r="K90" s="152">
        <f t="shared" si="41"/>
        <v>0.9011950387</v>
      </c>
      <c r="L90" s="152">
        <f t="shared" si="41"/>
        <v>0</v>
      </c>
      <c r="M90" s="152">
        <f t="shared" si="41"/>
        <v>0.8700350142</v>
      </c>
      <c r="N90" s="152">
        <f t="shared" si="41"/>
        <v>0</v>
      </c>
      <c r="O90" s="152">
        <f t="shared" si="41"/>
        <v>0.7358072914</v>
      </c>
      <c r="P90" s="152">
        <f t="shared" si="41"/>
        <v>1.198977741</v>
      </c>
      <c r="Q90" s="152">
        <f t="shared" si="41"/>
        <v>0</v>
      </c>
      <c r="R90" s="152">
        <f t="shared" si="41"/>
        <v>0</v>
      </c>
      <c r="S90" s="152">
        <f t="shared" si="41"/>
        <v>0</v>
      </c>
      <c r="T90" s="152">
        <f t="shared" si="41"/>
        <v>0</v>
      </c>
      <c r="U90" s="176" t="str">
        <f t="shared" si="41"/>
        <v>#DIV/0!</v>
      </c>
      <c r="V90" s="176" t="str">
        <f t="shared" si="41"/>
        <v>#DIV/0!</v>
      </c>
      <c r="W90" s="176" t="str">
        <f t="shared" si="41"/>
        <v>#DIV/0!</v>
      </c>
      <c r="X90" s="176" t="str">
        <f t="shared" si="41"/>
        <v>#DIV/0!</v>
      </c>
      <c r="Y90" s="176" t="str">
        <f t="shared" si="41"/>
        <v>#DIV/0!</v>
      </c>
      <c r="Z90" s="176" t="str">
        <f t="shared" si="41"/>
        <v>#DIV/0!</v>
      </c>
      <c r="AA90" s="176" t="str">
        <f t="shared" si="41"/>
        <v>#DIV/0!</v>
      </c>
      <c r="AB90" s="176" t="str">
        <f t="shared" si="41"/>
        <v>#DIV/0!</v>
      </c>
      <c r="AC90" s="176" t="str">
        <f t="shared" si="41"/>
        <v>#DIV/0!</v>
      </c>
      <c r="AD90" s="176" t="str">
        <f t="shared" si="41"/>
        <v>#DIV/0!</v>
      </c>
      <c r="AE90" s="176" t="str">
        <f t="shared" si="41"/>
        <v>#DIV/0!</v>
      </c>
      <c r="AF90" s="177" t="str">
        <f t="shared" si="41"/>
        <v>#DIV/0!</v>
      </c>
      <c r="AG90" s="134"/>
    </row>
    <row r="91">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c r="AA91" s="167"/>
      <c r="AB91" s="167"/>
      <c r="AC91" s="167"/>
      <c r="AD91" s="167"/>
      <c r="AE91" s="167"/>
      <c r="AF91" s="168"/>
      <c r="AG91" s="134"/>
    </row>
    <row r="92">
      <c r="A92" s="185" t="s">
        <v>383</v>
      </c>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c r="AA92" s="167"/>
      <c r="AB92" s="167"/>
      <c r="AC92" s="167"/>
      <c r="AD92" s="167"/>
      <c r="AE92" s="167"/>
      <c r="AF92" s="168"/>
      <c r="AG92" s="134"/>
    </row>
    <row r="93">
      <c r="A93" s="145" t="s">
        <v>367</v>
      </c>
      <c r="B93" s="156">
        <f t="shared" ref="B93:AD93" si="42">B22-B40-B235-B236-B237-B238-B239</f>
        <v>0</v>
      </c>
      <c r="C93" s="156">
        <f t="shared" si="42"/>
        <v>0</v>
      </c>
      <c r="D93" s="156">
        <f t="shared" si="42"/>
        <v>0</v>
      </c>
      <c r="E93" s="156">
        <f t="shared" si="42"/>
        <v>0</v>
      </c>
      <c r="F93" s="156">
        <f t="shared" si="42"/>
        <v>0</v>
      </c>
      <c r="G93" s="156">
        <f t="shared" si="42"/>
        <v>0</v>
      </c>
      <c r="H93" s="156">
        <f t="shared" si="42"/>
        <v>0</v>
      </c>
      <c r="I93" s="156">
        <f t="shared" si="42"/>
        <v>0</v>
      </c>
      <c r="J93" s="156">
        <f t="shared" si="42"/>
        <v>0</v>
      </c>
      <c r="K93" s="156">
        <f t="shared" si="42"/>
        <v>0</v>
      </c>
      <c r="L93" s="156">
        <f t="shared" si="42"/>
        <v>0</v>
      </c>
      <c r="M93" s="156">
        <f t="shared" si="42"/>
        <v>0</v>
      </c>
      <c r="N93" s="156">
        <f t="shared" si="42"/>
        <v>0</v>
      </c>
      <c r="O93" s="156">
        <f t="shared" si="42"/>
        <v>0</v>
      </c>
      <c r="P93" s="156">
        <f t="shared" si="42"/>
        <v>0</v>
      </c>
      <c r="Q93" s="156">
        <f t="shared" si="42"/>
        <v>0</v>
      </c>
      <c r="R93" s="156">
        <f t="shared" si="42"/>
        <v>0</v>
      </c>
      <c r="S93" s="156">
        <f t="shared" si="42"/>
        <v>0</v>
      </c>
      <c r="T93" s="156">
        <f t="shared" si="42"/>
        <v>0</v>
      </c>
      <c r="U93" s="156">
        <f t="shared" si="42"/>
        <v>0</v>
      </c>
      <c r="V93" s="156">
        <f t="shared" si="42"/>
        <v>0</v>
      </c>
      <c r="W93" s="156">
        <f t="shared" si="42"/>
        <v>0</v>
      </c>
      <c r="X93" s="156">
        <f t="shared" si="42"/>
        <v>0</v>
      </c>
      <c r="Y93" s="156">
        <f t="shared" si="42"/>
        <v>0</v>
      </c>
      <c r="Z93" s="156">
        <f t="shared" si="42"/>
        <v>0</v>
      </c>
      <c r="AA93" s="156">
        <f t="shared" si="42"/>
        <v>0</v>
      </c>
      <c r="AB93" s="156">
        <f t="shared" si="42"/>
        <v>0</v>
      </c>
      <c r="AC93" s="156">
        <f t="shared" si="42"/>
        <v>0</v>
      </c>
      <c r="AD93" s="156">
        <f t="shared" si="42"/>
        <v>0</v>
      </c>
      <c r="AE93" s="157"/>
      <c r="AF93" s="158">
        <f>AF22-AF40-AF235-AF236-AF237-AF238-AF239</f>
        <v>0</v>
      </c>
      <c r="AG93" s="64">
        <f>SUM(B93:AF93)</f>
        <v>0</v>
      </c>
    </row>
    <row r="94">
      <c r="A94" s="145" t="s">
        <v>372</v>
      </c>
      <c r="B94" s="159" t="str">
        <f t="shared" ref="B94:AD94" si="43">B22/B40</f>
        <v>#DIV/0!</v>
      </c>
      <c r="C94" s="159" t="str">
        <f t="shared" si="43"/>
        <v>#DIV/0!</v>
      </c>
      <c r="D94" s="159" t="str">
        <f t="shared" si="43"/>
        <v>#DIV/0!</v>
      </c>
      <c r="E94" s="159" t="str">
        <f t="shared" si="43"/>
        <v>#DIV/0!</v>
      </c>
      <c r="F94" s="159" t="str">
        <f t="shared" si="43"/>
        <v>#DIV/0!</v>
      </c>
      <c r="G94" s="159" t="str">
        <f t="shared" si="43"/>
        <v>#DIV/0!</v>
      </c>
      <c r="H94" s="159" t="str">
        <f t="shared" si="43"/>
        <v>#DIV/0!</v>
      </c>
      <c r="I94" s="159" t="str">
        <f t="shared" si="43"/>
        <v>#DIV/0!</v>
      </c>
      <c r="J94" s="159" t="str">
        <f t="shared" si="43"/>
        <v>#DIV/0!</v>
      </c>
      <c r="K94" s="159" t="str">
        <f t="shared" si="43"/>
        <v>#DIV/0!</v>
      </c>
      <c r="L94" s="159" t="str">
        <f t="shared" si="43"/>
        <v>#DIV/0!</v>
      </c>
      <c r="M94" s="159" t="str">
        <f t="shared" si="43"/>
        <v>#DIV/0!</v>
      </c>
      <c r="N94" s="159" t="str">
        <f t="shared" si="43"/>
        <v>#DIV/0!</v>
      </c>
      <c r="O94" s="159" t="str">
        <f t="shared" si="43"/>
        <v>#DIV/0!</v>
      </c>
      <c r="P94" s="159" t="str">
        <f t="shared" si="43"/>
        <v>#DIV/0!</v>
      </c>
      <c r="Q94" s="159" t="str">
        <f t="shared" si="43"/>
        <v>#DIV/0!</v>
      </c>
      <c r="R94" s="159" t="str">
        <f t="shared" si="43"/>
        <v>#DIV/0!</v>
      </c>
      <c r="S94" s="159" t="str">
        <f t="shared" si="43"/>
        <v>#DIV/0!</v>
      </c>
      <c r="T94" s="159" t="str">
        <f t="shared" si="43"/>
        <v>#DIV/0!</v>
      </c>
      <c r="U94" s="159" t="str">
        <f t="shared" si="43"/>
        <v>#DIV/0!</v>
      </c>
      <c r="V94" s="159" t="str">
        <f t="shared" si="43"/>
        <v>#DIV/0!</v>
      </c>
      <c r="W94" s="159" t="str">
        <f t="shared" si="43"/>
        <v>#DIV/0!</v>
      </c>
      <c r="X94" s="159" t="str">
        <f t="shared" si="43"/>
        <v>#DIV/0!</v>
      </c>
      <c r="Y94" s="159" t="str">
        <f t="shared" si="43"/>
        <v>#DIV/0!</v>
      </c>
      <c r="Z94" s="159" t="str">
        <f t="shared" si="43"/>
        <v>#DIV/0!</v>
      </c>
      <c r="AA94" s="159" t="str">
        <f t="shared" si="43"/>
        <v>#DIV/0!</v>
      </c>
      <c r="AB94" s="159" t="str">
        <f t="shared" si="43"/>
        <v>#DIV/0!</v>
      </c>
      <c r="AC94" s="159" t="str">
        <f t="shared" si="43"/>
        <v>#DIV/0!</v>
      </c>
      <c r="AD94" s="159" t="str">
        <f t="shared" si="43"/>
        <v>#DIV/0!</v>
      </c>
      <c r="AE94" s="160"/>
      <c r="AF94" s="161" t="str">
        <f t="shared" ref="AF94:AG94" si="44">AF22/AF40</f>
        <v>#DIV/0!</v>
      </c>
      <c r="AG94" s="162" t="str">
        <f t="shared" si="44"/>
        <v>#DIV/0!</v>
      </c>
    </row>
    <row r="95">
      <c r="A95" s="145" t="s">
        <v>375</v>
      </c>
      <c r="B95" s="163" t="str">
        <f t="shared" ref="B95:AD95" si="45">B40/B10</f>
        <v>#DIV/0!</v>
      </c>
      <c r="C95" s="163" t="str">
        <f t="shared" si="45"/>
        <v>#DIV/0!</v>
      </c>
      <c r="D95" s="163" t="str">
        <f t="shared" si="45"/>
        <v>#DIV/0!</v>
      </c>
      <c r="E95" s="163" t="str">
        <f t="shared" si="45"/>
        <v>#DIV/0!</v>
      </c>
      <c r="F95" s="163" t="str">
        <f t="shared" si="45"/>
        <v>#DIV/0!</v>
      </c>
      <c r="G95" s="163" t="str">
        <f t="shared" si="45"/>
        <v>#DIV/0!</v>
      </c>
      <c r="H95" s="163" t="str">
        <f t="shared" si="45"/>
        <v>#DIV/0!</v>
      </c>
      <c r="I95" s="163" t="str">
        <f t="shared" si="45"/>
        <v>#DIV/0!</v>
      </c>
      <c r="J95" s="163" t="str">
        <f t="shared" si="45"/>
        <v>#DIV/0!</v>
      </c>
      <c r="K95" s="163" t="str">
        <f t="shared" si="45"/>
        <v>#DIV/0!</v>
      </c>
      <c r="L95" s="163" t="str">
        <f t="shared" si="45"/>
        <v>#DIV/0!</v>
      </c>
      <c r="M95" s="163" t="str">
        <f t="shared" si="45"/>
        <v>#DIV/0!</v>
      </c>
      <c r="N95" s="163" t="str">
        <f t="shared" si="45"/>
        <v>#DIV/0!</v>
      </c>
      <c r="O95" s="163" t="str">
        <f t="shared" si="45"/>
        <v>#DIV/0!</v>
      </c>
      <c r="P95" s="163" t="str">
        <f t="shared" si="45"/>
        <v>#DIV/0!</v>
      </c>
      <c r="Q95" s="163" t="str">
        <f t="shared" si="45"/>
        <v>#DIV/0!</v>
      </c>
      <c r="R95" s="163" t="str">
        <f t="shared" si="45"/>
        <v>#DIV/0!</v>
      </c>
      <c r="S95" s="163" t="str">
        <f t="shared" si="45"/>
        <v>#DIV/0!</v>
      </c>
      <c r="T95" s="163" t="str">
        <f t="shared" si="45"/>
        <v>#DIV/0!</v>
      </c>
      <c r="U95" s="163" t="str">
        <f t="shared" si="45"/>
        <v>#DIV/0!</v>
      </c>
      <c r="V95" s="163" t="str">
        <f t="shared" si="45"/>
        <v>#DIV/0!</v>
      </c>
      <c r="W95" s="163" t="str">
        <f t="shared" si="45"/>
        <v>#DIV/0!</v>
      </c>
      <c r="X95" s="163" t="str">
        <f t="shared" si="45"/>
        <v>#DIV/0!</v>
      </c>
      <c r="Y95" s="163" t="str">
        <f t="shared" si="45"/>
        <v>#DIV/0!</v>
      </c>
      <c r="Z95" s="163" t="str">
        <f t="shared" si="45"/>
        <v>#DIV/0!</v>
      </c>
      <c r="AA95" s="163" t="str">
        <f t="shared" si="45"/>
        <v>#DIV/0!</v>
      </c>
      <c r="AB95" s="163" t="str">
        <f t="shared" si="45"/>
        <v>#DIV/0!</v>
      </c>
      <c r="AC95" s="163" t="str">
        <f t="shared" si="45"/>
        <v>#DIV/0!</v>
      </c>
      <c r="AD95" s="163" t="str">
        <f t="shared" si="45"/>
        <v>#DIV/0!</v>
      </c>
      <c r="AE95" s="157"/>
      <c r="AF95" s="164" t="str">
        <f>AF40/AF10</f>
        <v>#DIV/0!</v>
      </c>
      <c r="AG95" s="134"/>
    </row>
    <row r="96">
      <c r="A96" s="145" t="s">
        <v>377</v>
      </c>
      <c r="B96" s="159" t="str">
        <f t="shared" ref="B96:AD96" si="46">B22/(B40+B235+B236+B237+B238+B239)</f>
        <v>#DIV/0!</v>
      </c>
      <c r="C96" s="159" t="str">
        <f t="shared" si="46"/>
        <v>#DIV/0!</v>
      </c>
      <c r="D96" s="159" t="str">
        <f t="shared" si="46"/>
        <v>#DIV/0!</v>
      </c>
      <c r="E96" s="159" t="str">
        <f t="shared" si="46"/>
        <v>#DIV/0!</v>
      </c>
      <c r="F96" s="159" t="str">
        <f t="shared" si="46"/>
        <v>#DIV/0!</v>
      </c>
      <c r="G96" s="159" t="str">
        <f t="shared" si="46"/>
        <v>#DIV/0!</v>
      </c>
      <c r="H96" s="159" t="str">
        <f t="shared" si="46"/>
        <v>#DIV/0!</v>
      </c>
      <c r="I96" s="159" t="str">
        <f t="shared" si="46"/>
        <v>#DIV/0!</v>
      </c>
      <c r="J96" s="159" t="str">
        <f t="shared" si="46"/>
        <v>#DIV/0!</v>
      </c>
      <c r="K96" s="159" t="str">
        <f t="shared" si="46"/>
        <v>#DIV/0!</v>
      </c>
      <c r="L96" s="159" t="str">
        <f t="shared" si="46"/>
        <v>#DIV/0!</v>
      </c>
      <c r="M96" s="159" t="str">
        <f t="shared" si="46"/>
        <v>#DIV/0!</v>
      </c>
      <c r="N96" s="159" t="str">
        <f t="shared" si="46"/>
        <v>#DIV/0!</v>
      </c>
      <c r="O96" s="159" t="str">
        <f t="shared" si="46"/>
        <v>#DIV/0!</v>
      </c>
      <c r="P96" s="159" t="str">
        <f t="shared" si="46"/>
        <v>#DIV/0!</v>
      </c>
      <c r="Q96" s="159" t="str">
        <f t="shared" si="46"/>
        <v>#DIV/0!</v>
      </c>
      <c r="R96" s="159" t="str">
        <f t="shared" si="46"/>
        <v>#DIV/0!</v>
      </c>
      <c r="S96" s="159" t="str">
        <f t="shared" si="46"/>
        <v>#DIV/0!</v>
      </c>
      <c r="T96" s="159" t="str">
        <f t="shared" si="46"/>
        <v>#DIV/0!</v>
      </c>
      <c r="U96" s="159" t="str">
        <f t="shared" si="46"/>
        <v>#DIV/0!</v>
      </c>
      <c r="V96" s="159" t="str">
        <f t="shared" si="46"/>
        <v>#DIV/0!</v>
      </c>
      <c r="W96" s="159" t="str">
        <f t="shared" si="46"/>
        <v>#DIV/0!</v>
      </c>
      <c r="X96" s="159" t="str">
        <f t="shared" si="46"/>
        <v>#DIV/0!</v>
      </c>
      <c r="Y96" s="159" t="str">
        <f t="shared" si="46"/>
        <v>#DIV/0!</v>
      </c>
      <c r="Z96" s="159" t="str">
        <f t="shared" si="46"/>
        <v>#DIV/0!</v>
      </c>
      <c r="AA96" s="159" t="str">
        <f t="shared" si="46"/>
        <v>#DIV/0!</v>
      </c>
      <c r="AB96" s="159" t="str">
        <f t="shared" si="46"/>
        <v>#DIV/0!</v>
      </c>
      <c r="AC96" s="159" t="str">
        <f t="shared" si="46"/>
        <v>#DIV/0!</v>
      </c>
      <c r="AD96" s="159" t="str">
        <f t="shared" si="46"/>
        <v>#DIV/0!</v>
      </c>
      <c r="AE96" s="160"/>
      <c r="AF96" s="161" t="str">
        <f>AF22/(AF40+AF235+AF236+AF237+AF238+AF239)</f>
        <v>#DIV/0!</v>
      </c>
      <c r="AG96" s="134"/>
    </row>
    <row r="97">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c r="AA97" s="167"/>
      <c r="AB97" s="167"/>
      <c r="AC97" s="167"/>
      <c r="AD97" s="167"/>
      <c r="AE97" s="167"/>
      <c r="AF97" s="168"/>
      <c r="AG97" s="134"/>
    </row>
    <row r="98">
      <c r="A98" s="186" t="s">
        <v>384</v>
      </c>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c r="AA98" s="167"/>
      <c r="AB98" s="167"/>
      <c r="AC98" s="167"/>
      <c r="AD98" s="167"/>
      <c r="AE98" s="167"/>
      <c r="AF98" s="168"/>
      <c r="AG98" s="134"/>
    </row>
    <row r="99">
      <c r="A99" s="169" t="s">
        <v>367</v>
      </c>
      <c r="B99" s="136">
        <f t="shared" ref="B99:AF99" si="47">B23-B37-B242-B243-B244-B245-B246</f>
        <v>-9.97</v>
      </c>
      <c r="C99" s="138">
        <f t="shared" si="47"/>
        <v>126.704</v>
      </c>
      <c r="D99" s="136">
        <f t="shared" si="47"/>
        <v>-6.82</v>
      </c>
      <c r="E99" s="138">
        <f t="shared" si="47"/>
        <v>96.924</v>
      </c>
      <c r="F99" s="136">
        <f t="shared" si="47"/>
        <v>-7.1</v>
      </c>
      <c r="G99" s="136">
        <f t="shared" si="47"/>
        <v>-8.47</v>
      </c>
      <c r="H99" s="138">
        <f t="shared" si="47"/>
        <v>96.254</v>
      </c>
      <c r="I99" s="136">
        <f t="shared" si="47"/>
        <v>-6.88</v>
      </c>
      <c r="J99" s="136">
        <f t="shared" si="47"/>
        <v>-16.04</v>
      </c>
      <c r="K99" s="136">
        <f t="shared" si="47"/>
        <v>-4.33</v>
      </c>
      <c r="L99" s="136">
        <f t="shared" si="47"/>
        <v>-4.59</v>
      </c>
      <c r="M99" s="138">
        <f t="shared" si="47"/>
        <v>97.414</v>
      </c>
      <c r="N99" s="136">
        <f t="shared" si="47"/>
        <v>-8.48</v>
      </c>
      <c r="O99" s="138">
        <f t="shared" si="47"/>
        <v>155.75</v>
      </c>
      <c r="P99" s="136">
        <f t="shared" si="47"/>
        <v>-8.45</v>
      </c>
      <c r="Q99" s="136">
        <f t="shared" si="47"/>
        <v>-8.38</v>
      </c>
      <c r="R99" s="136">
        <f t="shared" si="47"/>
        <v>-12.1</v>
      </c>
      <c r="S99" s="136">
        <f t="shared" si="47"/>
        <v>-12.04</v>
      </c>
      <c r="T99" s="136">
        <f t="shared" si="47"/>
        <v>-10.02</v>
      </c>
      <c r="U99" s="136">
        <f t="shared" si="47"/>
        <v>-6.18</v>
      </c>
      <c r="V99" s="138">
        <f t="shared" si="47"/>
        <v>158.38</v>
      </c>
      <c r="W99" s="138">
        <f t="shared" si="47"/>
        <v>99.724</v>
      </c>
      <c r="X99" s="136">
        <f t="shared" si="47"/>
        <v>-1.55</v>
      </c>
      <c r="Y99" s="138">
        <f t="shared" si="47"/>
        <v>96.714</v>
      </c>
      <c r="Z99" s="136">
        <f t="shared" si="47"/>
        <v>-13.25</v>
      </c>
      <c r="AA99" s="138">
        <f t="shared" si="47"/>
        <v>262.896</v>
      </c>
      <c r="AB99" s="136">
        <f t="shared" si="47"/>
        <v>-31.486</v>
      </c>
      <c r="AC99" s="138">
        <f t="shared" si="47"/>
        <v>101.734</v>
      </c>
      <c r="AD99" s="136">
        <f t="shared" si="47"/>
        <v>-3.49</v>
      </c>
      <c r="AE99" s="138">
        <f t="shared" si="47"/>
        <v>98.704</v>
      </c>
      <c r="AF99" s="140">
        <f t="shared" si="47"/>
        <v>113.556</v>
      </c>
      <c r="AG99" s="146">
        <f>SUM(B99:AF99)</f>
        <v>1325.128</v>
      </c>
    </row>
    <row r="100">
      <c r="A100" s="169" t="s">
        <v>372</v>
      </c>
      <c r="B100" s="147">
        <f t="shared" ref="B100:AG100" si="48">B23/B37</f>
        <v>0</v>
      </c>
      <c r="C100" s="147">
        <f t="shared" si="48"/>
        <v>30.02544529</v>
      </c>
      <c r="D100" s="147">
        <f t="shared" si="48"/>
        <v>0</v>
      </c>
      <c r="E100" s="147">
        <f t="shared" si="48"/>
        <v>24.46555819</v>
      </c>
      <c r="F100" s="147">
        <f t="shared" si="48"/>
        <v>0</v>
      </c>
      <c r="G100" s="147">
        <f t="shared" si="48"/>
        <v>0</v>
      </c>
      <c r="H100" s="147">
        <f t="shared" si="48"/>
        <v>22.66226623</v>
      </c>
      <c r="I100" s="147">
        <f t="shared" si="48"/>
        <v>0</v>
      </c>
      <c r="J100" s="147">
        <f t="shared" si="48"/>
        <v>0</v>
      </c>
      <c r="K100" s="147">
        <f t="shared" si="48"/>
        <v>0</v>
      </c>
      <c r="L100" s="147">
        <f t="shared" si="48"/>
        <v>0</v>
      </c>
      <c r="M100" s="147">
        <f t="shared" si="48"/>
        <v>25.97730139</v>
      </c>
      <c r="N100" s="147">
        <f t="shared" si="48"/>
        <v>0</v>
      </c>
      <c r="O100" s="147">
        <f t="shared" si="48"/>
        <v>37.53541076</v>
      </c>
      <c r="P100" s="147">
        <f t="shared" si="48"/>
        <v>0</v>
      </c>
      <c r="Q100" s="147">
        <f t="shared" si="48"/>
        <v>0</v>
      </c>
      <c r="R100" s="147">
        <f t="shared" si="48"/>
        <v>0</v>
      </c>
      <c r="S100" s="147">
        <f t="shared" si="48"/>
        <v>0</v>
      </c>
      <c r="T100" s="147">
        <f t="shared" si="48"/>
        <v>0</v>
      </c>
      <c r="U100" s="147">
        <f t="shared" si="48"/>
        <v>0</v>
      </c>
      <c r="V100" s="147">
        <f t="shared" si="48"/>
        <v>59.81941309</v>
      </c>
      <c r="W100" s="147">
        <f t="shared" si="48"/>
        <v>36.65480427</v>
      </c>
      <c r="X100" s="147">
        <f t="shared" si="48"/>
        <v>0</v>
      </c>
      <c r="Y100" s="147">
        <f t="shared" si="48"/>
        <v>23.87022016</v>
      </c>
      <c r="Z100" s="147">
        <f t="shared" si="48"/>
        <v>0</v>
      </c>
      <c r="AA100" s="147">
        <f t="shared" si="48"/>
        <v>34.61187215</v>
      </c>
      <c r="AB100" s="147">
        <f t="shared" si="48"/>
        <v>13.29588015</v>
      </c>
      <c r="AC100" s="147">
        <f t="shared" si="48"/>
        <v>57.06371191</v>
      </c>
      <c r="AD100" s="147">
        <f t="shared" si="48"/>
        <v>0</v>
      </c>
      <c r="AE100" s="147">
        <f t="shared" si="48"/>
        <v>31.02409639</v>
      </c>
      <c r="AF100" s="148">
        <f t="shared" si="48"/>
        <v>24.03433476</v>
      </c>
      <c r="AG100" s="149">
        <f t="shared" si="48"/>
        <v>11.85813035</v>
      </c>
    </row>
    <row r="101">
      <c r="A101" s="169" t="s">
        <v>375</v>
      </c>
      <c r="B101" s="174" t="str">
        <f t="shared" ref="B101:AF101" si="49">B37/B11</f>
        <v>#DIV/0!</v>
      </c>
      <c r="C101" s="150">
        <f t="shared" si="49"/>
        <v>7.86</v>
      </c>
      <c r="D101" s="174" t="str">
        <f t="shared" si="49"/>
        <v>#DIV/0!</v>
      </c>
      <c r="E101" s="150">
        <f t="shared" si="49"/>
        <v>8.42</v>
      </c>
      <c r="F101" s="174" t="str">
        <f t="shared" si="49"/>
        <v>#DIV/0!</v>
      </c>
      <c r="G101" s="174" t="str">
        <f t="shared" si="49"/>
        <v>#DIV/0!</v>
      </c>
      <c r="H101" s="150">
        <f t="shared" si="49"/>
        <v>9.09</v>
      </c>
      <c r="I101" s="174" t="str">
        <f t="shared" si="49"/>
        <v>#DIV/0!</v>
      </c>
      <c r="J101" s="174" t="str">
        <f t="shared" si="49"/>
        <v>#DIV/0!</v>
      </c>
      <c r="K101" s="174" t="str">
        <f t="shared" si="49"/>
        <v>#DIV/0!</v>
      </c>
      <c r="L101" s="174" t="str">
        <f t="shared" si="49"/>
        <v>#DIV/0!</v>
      </c>
      <c r="M101" s="150">
        <f t="shared" si="49"/>
        <v>7.93</v>
      </c>
      <c r="N101" s="174" t="str">
        <f t="shared" si="49"/>
        <v>#DIV/0!</v>
      </c>
      <c r="O101" s="150">
        <f t="shared" si="49"/>
        <v>7.06</v>
      </c>
      <c r="P101" s="174" t="str">
        <f t="shared" si="49"/>
        <v>#DIV/0!</v>
      </c>
      <c r="Q101" s="174" t="str">
        <f t="shared" si="49"/>
        <v>#DIV/0!</v>
      </c>
      <c r="R101" s="174" t="str">
        <f t="shared" si="49"/>
        <v>#DIV/0!</v>
      </c>
      <c r="S101" s="174" t="str">
        <f t="shared" si="49"/>
        <v>#DIV/0!</v>
      </c>
      <c r="T101" s="174" t="str">
        <f t="shared" si="49"/>
        <v>#DIV/0!</v>
      </c>
      <c r="U101" s="174" t="str">
        <f t="shared" si="49"/>
        <v>#DIV/0!</v>
      </c>
      <c r="V101" s="150">
        <f t="shared" si="49"/>
        <v>4.43</v>
      </c>
      <c r="W101" s="150">
        <f t="shared" si="49"/>
        <v>5.62</v>
      </c>
      <c r="X101" s="174" t="str">
        <f t="shared" si="49"/>
        <v>#DIV/0!</v>
      </c>
      <c r="Y101" s="150">
        <f t="shared" si="49"/>
        <v>8.63</v>
      </c>
      <c r="Z101" s="174" t="str">
        <f t="shared" si="49"/>
        <v>#DIV/0!</v>
      </c>
      <c r="AA101" s="150">
        <f t="shared" si="49"/>
        <v>10.95</v>
      </c>
      <c r="AB101" s="150">
        <f t="shared" si="49"/>
        <v>5.34</v>
      </c>
      <c r="AC101" s="150">
        <f t="shared" si="49"/>
        <v>3.61</v>
      </c>
      <c r="AD101" s="174" t="str">
        <f t="shared" si="49"/>
        <v>#DIV/0!</v>
      </c>
      <c r="AE101" s="150">
        <f t="shared" si="49"/>
        <v>6.64</v>
      </c>
      <c r="AF101" s="151">
        <f t="shared" si="49"/>
        <v>9.32</v>
      </c>
      <c r="AG101" s="134"/>
    </row>
    <row r="102">
      <c r="A102" s="169" t="s">
        <v>377</v>
      </c>
      <c r="B102" s="152">
        <f t="shared" ref="B102:AF102" si="50">B23/(B37+B242+B243+B244+B245+B246)</f>
        <v>0</v>
      </c>
      <c r="C102" s="152">
        <f t="shared" si="50"/>
        <v>2.159273898</v>
      </c>
      <c r="D102" s="152">
        <f t="shared" si="50"/>
        <v>0</v>
      </c>
      <c r="E102" s="152">
        <f t="shared" si="50"/>
        <v>1.888591441</v>
      </c>
      <c r="F102" s="152">
        <f t="shared" si="50"/>
        <v>0</v>
      </c>
      <c r="G102" s="152">
        <f t="shared" si="50"/>
        <v>0</v>
      </c>
      <c r="H102" s="152">
        <f t="shared" si="50"/>
        <v>1.877061579</v>
      </c>
      <c r="I102" s="152">
        <f t="shared" si="50"/>
        <v>0</v>
      </c>
      <c r="J102" s="152">
        <f t="shared" si="50"/>
        <v>0</v>
      </c>
      <c r="K102" s="152">
        <f t="shared" si="50"/>
        <v>0</v>
      </c>
      <c r="L102" s="152">
        <f t="shared" si="50"/>
        <v>0</v>
      </c>
      <c r="M102" s="152">
        <f t="shared" si="50"/>
        <v>1.897113808</v>
      </c>
      <c r="N102" s="152">
        <f t="shared" si="50"/>
        <v>0</v>
      </c>
      <c r="O102" s="152">
        <f t="shared" si="50"/>
        <v>2.425629291</v>
      </c>
      <c r="P102" s="152">
        <f t="shared" si="50"/>
        <v>0</v>
      </c>
      <c r="Q102" s="152">
        <f t="shared" si="50"/>
        <v>0</v>
      </c>
      <c r="R102" s="152">
        <f t="shared" si="50"/>
        <v>0</v>
      </c>
      <c r="S102" s="152">
        <f t="shared" si="50"/>
        <v>0</v>
      </c>
      <c r="T102" s="152">
        <f t="shared" si="50"/>
        <v>0</v>
      </c>
      <c r="U102" s="152">
        <f t="shared" si="50"/>
        <v>0</v>
      </c>
      <c r="V102" s="152">
        <f t="shared" si="50"/>
        <v>2.48546239</v>
      </c>
      <c r="W102" s="152">
        <f t="shared" si="50"/>
        <v>1.938349204</v>
      </c>
      <c r="X102" s="152">
        <f t="shared" si="50"/>
        <v>0</v>
      </c>
      <c r="Y102" s="152">
        <f t="shared" si="50"/>
        <v>1.884962392</v>
      </c>
      <c r="Z102" s="152">
        <f t="shared" si="50"/>
        <v>0</v>
      </c>
      <c r="AA102" s="152">
        <f t="shared" si="50"/>
        <v>3.264314752</v>
      </c>
      <c r="AB102" s="152">
        <f t="shared" si="50"/>
        <v>0.6927775501</v>
      </c>
      <c r="AC102" s="152">
        <f t="shared" si="50"/>
        <v>1.975715957</v>
      </c>
      <c r="AD102" s="152">
        <f t="shared" si="50"/>
        <v>0</v>
      </c>
      <c r="AE102" s="152">
        <f t="shared" si="50"/>
        <v>1.919922458</v>
      </c>
      <c r="AF102" s="153">
        <f t="shared" si="50"/>
        <v>2.028177176</v>
      </c>
      <c r="AG102" s="134"/>
    </row>
    <row r="103">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c r="AA103" s="167"/>
      <c r="AB103" s="167"/>
      <c r="AC103" s="167"/>
      <c r="AD103" s="167"/>
      <c r="AE103" s="167"/>
      <c r="AF103" s="168"/>
      <c r="AG103" s="134"/>
    </row>
    <row r="104">
      <c r="A104" s="187" t="s">
        <v>385</v>
      </c>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c r="AA104" s="167"/>
      <c r="AB104" s="167"/>
      <c r="AC104" s="167"/>
      <c r="AD104" s="167"/>
      <c r="AE104" s="167"/>
      <c r="AF104" s="168"/>
      <c r="AG104" s="134"/>
    </row>
    <row r="105">
      <c r="A105" s="144" t="s">
        <v>367</v>
      </c>
      <c r="B105" s="136">
        <f t="shared" ref="B105:AF105" si="51">B24-B38-B249-B250-B251-B252-B253</f>
        <v>-394.63</v>
      </c>
      <c r="C105" s="136">
        <f t="shared" si="51"/>
        <v>-0.47</v>
      </c>
      <c r="D105" s="96">
        <f t="shared" si="51"/>
        <v>0</v>
      </c>
      <c r="E105" s="96">
        <f t="shared" si="51"/>
        <v>0</v>
      </c>
      <c r="F105" s="96">
        <f t="shared" si="51"/>
        <v>0</v>
      </c>
      <c r="G105" s="96">
        <f t="shared" si="51"/>
        <v>0</v>
      </c>
      <c r="H105" s="96">
        <f t="shared" si="51"/>
        <v>0</v>
      </c>
      <c r="I105" s="96">
        <f t="shared" si="51"/>
        <v>0</v>
      </c>
      <c r="J105" s="96">
        <f t="shared" si="51"/>
        <v>0</v>
      </c>
      <c r="K105" s="96">
        <f t="shared" si="51"/>
        <v>0</v>
      </c>
      <c r="L105" s="96">
        <f t="shared" si="51"/>
        <v>0</v>
      </c>
      <c r="M105" s="96">
        <f t="shared" si="51"/>
        <v>0</v>
      </c>
      <c r="N105" s="96">
        <f t="shared" si="51"/>
        <v>0</v>
      </c>
      <c r="O105" s="96">
        <f t="shared" si="51"/>
        <v>0</v>
      </c>
      <c r="P105" s="96">
        <f t="shared" si="51"/>
        <v>0</v>
      </c>
      <c r="Q105" s="96">
        <f t="shared" si="51"/>
        <v>0</v>
      </c>
      <c r="R105" s="96">
        <f t="shared" si="51"/>
        <v>0</v>
      </c>
      <c r="S105" s="96">
        <f t="shared" si="51"/>
        <v>0</v>
      </c>
      <c r="T105" s="96">
        <f t="shared" si="51"/>
        <v>0</v>
      </c>
      <c r="U105" s="96">
        <f t="shared" si="51"/>
        <v>0</v>
      </c>
      <c r="V105" s="96">
        <f t="shared" si="51"/>
        <v>0</v>
      </c>
      <c r="W105" s="96">
        <f t="shared" si="51"/>
        <v>0</v>
      </c>
      <c r="X105" s="96">
        <f t="shared" si="51"/>
        <v>0</v>
      </c>
      <c r="Y105" s="96">
        <f t="shared" si="51"/>
        <v>0</v>
      </c>
      <c r="Z105" s="96">
        <f t="shared" si="51"/>
        <v>0</v>
      </c>
      <c r="AA105" s="96">
        <f t="shared" si="51"/>
        <v>0</v>
      </c>
      <c r="AB105" s="96">
        <f t="shared" si="51"/>
        <v>0</v>
      </c>
      <c r="AC105" s="96">
        <f t="shared" si="51"/>
        <v>0</v>
      </c>
      <c r="AD105" s="96">
        <f t="shared" si="51"/>
        <v>0</v>
      </c>
      <c r="AE105" s="96">
        <f t="shared" si="51"/>
        <v>0</v>
      </c>
      <c r="AF105" s="113">
        <f t="shared" si="51"/>
        <v>0</v>
      </c>
      <c r="AG105" s="171">
        <f>SUM(B105:AF105)</f>
        <v>-395.1</v>
      </c>
    </row>
    <row r="106">
      <c r="A106" s="144" t="s">
        <v>372</v>
      </c>
      <c r="B106" s="147">
        <f t="shared" ref="B106:AG106" si="52">B24/B38</f>
        <v>0</v>
      </c>
      <c r="C106" s="147">
        <f t="shared" si="52"/>
        <v>0</v>
      </c>
      <c r="D106" s="172" t="str">
        <f t="shared" si="52"/>
        <v>#DIV/0!</v>
      </c>
      <c r="E106" s="172" t="str">
        <f t="shared" si="52"/>
        <v>#DIV/0!</v>
      </c>
      <c r="F106" s="172" t="str">
        <f t="shared" si="52"/>
        <v>#DIV/0!</v>
      </c>
      <c r="G106" s="172" t="str">
        <f t="shared" si="52"/>
        <v>#DIV/0!</v>
      </c>
      <c r="H106" s="172" t="str">
        <f t="shared" si="52"/>
        <v>#DIV/0!</v>
      </c>
      <c r="I106" s="172" t="str">
        <f t="shared" si="52"/>
        <v>#DIV/0!</v>
      </c>
      <c r="J106" s="172" t="str">
        <f t="shared" si="52"/>
        <v>#DIV/0!</v>
      </c>
      <c r="K106" s="172" t="str">
        <f t="shared" si="52"/>
        <v>#DIV/0!</v>
      </c>
      <c r="L106" s="172" t="str">
        <f t="shared" si="52"/>
        <v>#DIV/0!</v>
      </c>
      <c r="M106" s="172" t="str">
        <f t="shared" si="52"/>
        <v>#DIV/0!</v>
      </c>
      <c r="N106" s="172" t="str">
        <f t="shared" si="52"/>
        <v>#DIV/0!</v>
      </c>
      <c r="O106" s="172" t="str">
        <f t="shared" si="52"/>
        <v>#DIV/0!</v>
      </c>
      <c r="P106" s="172" t="str">
        <f t="shared" si="52"/>
        <v>#DIV/0!</v>
      </c>
      <c r="Q106" s="172" t="str">
        <f t="shared" si="52"/>
        <v>#DIV/0!</v>
      </c>
      <c r="R106" s="172" t="str">
        <f t="shared" si="52"/>
        <v>#DIV/0!</v>
      </c>
      <c r="S106" s="172" t="str">
        <f t="shared" si="52"/>
        <v>#DIV/0!</v>
      </c>
      <c r="T106" s="172" t="str">
        <f t="shared" si="52"/>
        <v>#DIV/0!</v>
      </c>
      <c r="U106" s="172" t="str">
        <f t="shared" si="52"/>
        <v>#DIV/0!</v>
      </c>
      <c r="V106" s="172" t="str">
        <f t="shared" si="52"/>
        <v>#DIV/0!</v>
      </c>
      <c r="W106" s="172" t="str">
        <f t="shared" si="52"/>
        <v>#DIV/0!</v>
      </c>
      <c r="X106" s="172" t="str">
        <f t="shared" si="52"/>
        <v>#DIV/0!</v>
      </c>
      <c r="Y106" s="172" t="str">
        <f t="shared" si="52"/>
        <v>#DIV/0!</v>
      </c>
      <c r="Z106" s="172" t="str">
        <f t="shared" si="52"/>
        <v>#DIV/0!</v>
      </c>
      <c r="AA106" s="172" t="str">
        <f t="shared" si="52"/>
        <v>#DIV/0!</v>
      </c>
      <c r="AB106" s="172" t="str">
        <f t="shared" si="52"/>
        <v>#DIV/0!</v>
      </c>
      <c r="AC106" s="172" t="str">
        <f t="shared" si="52"/>
        <v>#DIV/0!</v>
      </c>
      <c r="AD106" s="172" t="str">
        <f t="shared" si="52"/>
        <v>#DIV/0!</v>
      </c>
      <c r="AE106" s="172" t="str">
        <f t="shared" si="52"/>
        <v>#DIV/0!</v>
      </c>
      <c r="AF106" s="173" t="str">
        <f t="shared" si="52"/>
        <v>#DIV/0!</v>
      </c>
      <c r="AG106" s="149">
        <f t="shared" si="52"/>
        <v>0</v>
      </c>
    </row>
    <row r="107">
      <c r="A107" s="144" t="s">
        <v>375</v>
      </c>
      <c r="B107" s="174" t="str">
        <f t="shared" ref="B107:AF107" si="53">B38/B12</f>
        <v>#DIV/0!</v>
      </c>
      <c r="C107" s="174" t="str">
        <f t="shared" si="53"/>
        <v>#DIV/0!</v>
      </c>
      <c r="D107" s="174" t="str">
        <f t="shared" si="53"/>
        <v>#DIV/0!</v>
      </c>
      <c r="E107" s="174" t="str">
        <f t="shared" si="53"/>
        <v>#DIV/0!</v>
      </c>
      <c r="F107" s="174" t="str">
        <f t="shared" si="53"/>
        <v>#DIV/0!</v>
      </c>
      <c r="G107" s="174" t="str">
        <f t="shared" si="53"/>
        <v>#DIV/0!</v>
      </c>
      <c r="H107" s="174" t="str">
        <f t="shared" si="53"/>
        <v>#DIV/0!</v>
      </c>
      <c r="I107" s="174" t="str">
        <f t="shared" si="53"/>
        <v>#DIV/0!</v>
      </c>
      <c r="J107" s="174" t="str">
        <f t="shared" si="53"/>
        <v>#DIV/0!</v>
      </c>
      <c r="K107" s="174" t="str">
        <f t="shared" si="53"/>
        <v>#DIV/0!</v>
      </c>
      <c r="L107" s="174" t="str">
        <f t="shared" si="53"/>
        <v>#DIV/0!</v>
      </c>
      <c r="M107" s="174" t="str">
        <f t="shared" si="53"/>
        <v>#DIV/0!</v>
      </c>
      <c r="N107" s="174" t="str">
        <f t="shared" si="53"/>
        <v>#DIV/0!</v>
      </c>
      <c r="O107" s="174" t="str">
        <f t="shared" si="53"/>
        <v>#DIV/0!</v>
      </c>
      <c r="P107" s="174" t="str">
        <f t="shared" si="53"/>
        <v>#DIV/0!</v>
      </c>
      <c r="Q107" s="174" t="str">
        <f t="shared" si="53"/>
        <v>#DIV/0!</v>
      </c>
      <c r="R107" s="174" t="str">
        <f t="shared" si="53"/>
        <v>#DIV/0!</v>
      </c>
      <c r="S107" s="174" t="str">
        <f t="shared" si="53"/>
        <v>#DIV/0!</v>
      </c>
      <c r="T107" s="174" t="str">
        <f t="shared" si="53"/>
        <v>#DIV/0!</v>
      </c>
      <c r="U107" s="174" t="str">
        <f t="shared" si="53"/>
        <v>#DIV/0!</v>
      </c>
      <c r="V107" s="174" t="str">
        <f t="shared" si="53"/>
        <v>#DIV/0!</v>
      </c>
      <c r="W107" s="174" t="str">
        <f t="shared" si="53"/>
        <v>#DIV/0!</v>
      </c>
      <c r="X107" s="174" t="str">
        <f t="shared" si="53"/>
        <v>#DIV/0!</v>
      </c>
      <c r="Y107" s="174" t="str">
        <f t="shared" si="53"/>
        <v>#DIV/0!</v>
      </c>
      <c r="Z107" s="174" t="str">
        <f t="shared" si="53"/>
        <v>#DIV/0!</v>
      </c>
      <c r="AA107" s="174" t="str">
        <f t="shared" si="53"/>
        <v>#DIV/0!</v>
      </c>
      <c r="AB107" s="174" t="str">
        <f t="shared" si="53"/>
        <v>#DIV/0!</v>
      </c>
      <c r="AC107" s="174" t="str">
        <f t="shared" si="53"/>
        <v>#DIV/0!</v>
      </c>
      <c r="AD107" s="174" t="str">
        <f t="shared" si="53"/>
        <v>#DIV/0!</v>
      </c>
      <c r="AE107" s="174" t="str">
        <f t="shared" si="53"/>
        <v>#DIV/0!</v>
      </c>
      <c r="AF107" s="175" t="str">
        <f t="shared" si="53"/>
        <v>#DIV/0!</v>
      </c>
      <c r="AG107" s="134"/>
    </row>
    <row r="108">
      <c r="A108" s="144" t="s">
        <v>377</v>
      </c>
      <c r="B108" s="152">
        <f t="shared" ref="B108:AF108" si="54">B24/(B38+B249+B250+B251+B252+B253)</f>
        <v>0</v>
      </c>
      <c r="C108" s="152">
        <f t="shared" si="54"/>
        <v>0</v>
      </c>
      <c r="D108" s="176" t="str">
        <f t="shared" si="54"/>
        <v>#DIV/0!</v>
      </c>
      <c r="E108" s="176" t="str">
        <f t="shared" si="54"/>
        <v>#DIV/0!</v>
      </c>
      <c r="F108" s="176" t="str">
        <f t="shared" si="54"/>
        <v>#DIV/0!</v>
      </c>
      <c r="G108" s="176" t="str">
        <f t="shared" si="54"/>
        <v>#DIV/0!</v>
      </c>
      <c r="H108" s="176" t="str">
        <f t="shared" si="54"/>
        <v>#DIV/0!</v>
      </c>
      <c r="I108" s="176" t="str">
        <f t="shared" si="54"/>
        <v>#DIV/0!</v>
      </c>
      <c r="J108" s="176" t="str">
        <f t="shared" si="54"/>
        <v>#DIV/0!</v>
      </c>
      <c r="K108" s="176" t="str">
        <f t="shared" si="54"/>
        <v>#DIV/0!</v>
      </c>
      <c r="L108" s="176" t="str">
        <f t="shared" si="54"/>
        <v>#DIV/0!</v>
      </c>
      <c r="M108" s="176" t="str">
        <f t="shared" si="54"/>
        <v>#DIV/0!</v>
      </c>
      <c r="N108" s="176" t="str">
        <f t="shared" si="54"/>
        <v>#DIV/0!</v>
      </c>
      <c r="O108" s="176" t="str">
        <f t="shared" si="54"/>
        <v>#DIV/0!</v>
      </c>
      <c r="P108" s="176" t="str">
        <f t="shared" si="54"/>
        <v>#DIV/0!</v>
      </c>
      <c r="Q108" s="176" t="str">
        <f t="shared" si="54"/>
        <v>#DIV/0!</v>
      </c>
      <c r="R108" s="176" t="str">
        <f t="shared" si="54"/>
        <v>#DIV/0!</v>
      </c>
      <c r="S108" s="176" t="str">
        <f t="shared" si="54"/>
        <v>#DIV/0!</v>
      </c>
      <c r="T108" s="176" t="str">
        <f t="shared" si="54"/>
        <v>#DIV/0!</v>
      </c>
      <c r="U108" s="176" t="str">
        <f t="shared" si="54"/>
        <v>#DIV/0!</v>
      </c>
      <c r="V108" s="176" t="str">
        <f t="shared" si="54"/>
        <v>#DIV/0!</v>
      </c>
      <c r="W108" s="176" t="str">
        <f t="shared" si="54"/>
        <v>#DIV/0!</v>
      </c>
      <c r="X108" s="176" t="str">
        <f t="shared" si="54"/>
        <v>#DIV/0!</v>
      </c>
      <c r="Y108" s="176" t="str">
        <f t="shared" si="54"/>
        <v>#DIV/0!</v>
      </c>
      <c r="Z108" s="176" t="str">
        <f t="shared" si="54"/>
        <v>#DIV/0!</v>
      </c>
      <c r="AA108" s="176" t="str">
        <f t="shared" si="54"/>
        <v>#DIV/0!</v>
      </c>
      <c r="AB108" s="176" t="str">
        <f t="shared" si="54"/>
        <v>#DIV/0!</v>
      </c>
      <c r="AC108" s="176" t="str">
        <f t="shared" si="54"/>
        <v>#DIV/0!</v>
      </c>
      <c r="AD108" s="176" t="str">
        <f t="shared" si="54"/>
        <v>#DIV/0!</v>
      </c>
      <c r="AE108" s="176" t="str">
        <f t="shared" si="54"/>
        <v>#DIV/0!</v>
      </c>
      <c r="AF108" s="177" t="str">
        <f t="shared" si="54"/>
        <v>#DIV/0!</v>
      </c>
      <c r="AG108" s="134"/>
    </row>
    <row r="109">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8"/>
      <c r="AG109" s="13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7"/>
      <c r="AG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7"/>
      <c r="AG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7"/>
      <c r="AG112" s="24"/>
    </row>
    <row r="113">
      <c r="A113" s="165" t="s">
        <v>355</v>
      </c>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7"/>
      <c r="AG113" s="24"/>
    </row>
    <row r="114">
      <c r="A114" s="188" t="s">
        <v>386</v>
      </c>
      <c r="B114" s="96">
        <v>2266.0</v>
      </c>
      <c r="C114" s="96">
        <v>2648.0</v>
      </c>
      <c r="D114" s="96">
        <v>2495.0</v>
      </c>
      <c r="E114" s="96">
        <v>2799.0</v>
      </c>
      <c r="F114" s="96">
        <v>1160.0</v>
      </c>
      <c r="G114" s="96">
        <v>3895.0</v>
      </c>
      <c r="H114" s="96">
        <v>4143.0</v>
      </c>
      <c r="I114" s="96">
        <v>2736.0</v>
      </c>
      <c r="J114" s="96">
        <v>4076.0</v>
      </c>
      <c r="K114" s="96">
        <v>1709.0</v>
      </c>
      <c r="L114" s="96">
        <v>1854.0</v>
      </c>
      <c r="M114" s="96">
        <v>2039.0</v>
      </c>
      <c r="N114" s="189">
        <v>540.0</v>
      </c>
      <c r="O114" s="189">
        <v>1307.0</v>
      </c>
      <c r="P114" s="189">
        <v>873.0</v>
      </c>
      <c r="Q114" s="189">
        <v>2022.0</v>
      </c>
      <c r="R114" s="96">
        <v>220.0</v>
      </c>
      <c r="S114" s="189">
        <v>0.0</v>
      </c>
      <c r="T114" s="96">
        <v>1005.0</v>
      </c>
      <c r="U114" s="189">
        <v>1589.0</v>
      </c>
      <c r="V114" s="189">
        <v>0.0</v>
      </c>
      <c r="W114" s="189">
        <v>196.0</v>
      </c>
      <c r="X114" s="189">
        <v>473.0</v>
      </c>
      <c r="Y114" s="189">
        <v>206.0</v>
      </c>
      <c r="Z114" s="189">
        <v>760.0</v>
      </c>
      <c r="AA114" s="189">
        <v>1701.0</v>
      </c>
      <c r="AB114" s="189">
        <v>616.0</v>
      </c>
      <c r="AC114" s="189">
        <v>202.0</v>
      </c>
      <c r="AD114" s="189">
        <v>856.0</v>
      </c>
      <c r="AE114" s="189">
        <v>255.0</v>
      </c>
      <c r="AF114" s="190">
        <v>0.0</v>
      </c>
      <c r="AG114" s="91">
        <f t="shared" ref="AG114:AG116" si="55">SUM(B114:AF114)</f>
        <v>44641</v>
      </c>
    </row>
    <row r="115">
      <c r="A115" s="188" t="s">
        <v>387</v>
      </c>
      <c r="B115" s="96">
        <v>17191.0</v>
      </c>
      <c r="C115" s="96">
        <v>10945.0</v>
      </c>
      <c r="D115" s="96">
        <v>10375.0</v>
      </c>
      <c r="E115" s="96">
        <v>12387.0</v>
      </c>
      <c r="F115" s="96">
        <v>8501.0</v>
      </c>
      <c r="G115" s="96">
        <v>10197.0</v>
      </c>
      <c r="H115" s="96">
        <v>7967.0</v>
      </c>
      <c r="I115" s="96">
        <v>9485.0</v>
      </c>
      <c r="J115" s="96">
        <v>5519.0</v>
      </c>
      <c r="K115" s="96">
        <v>7115.0</v>
      </c>
      <c r="L115" s="96">
        <v>7120.0</v>
      </c>
      <c r="M115" s="96">
        <v>7058.0</v>
      </c>
      <c r="N115" s="96">
        <v>6625.0</v>
      </c>
      <c r="O115" s="96">
        <v>5426.0</v>
      </c>
      <c r="P115" s="96">
        <v>9198.0</v>
      </c>
      <c r="Q115" s="96">
        <v>6919.0</v>
      </c>
      <c r="R115" s="96">
        <v>6277.0</v>
      </c>
      <c r="S115" s="96">
        <v>7468.0</v>
      </c>
      <c r="T115" s="96">
        <v>3393.0</v>
      </c>
      <c r="U115" s="189">
        <v>7464.0</v>
      </c>
      <c r="V115" s="189">
        <v>9654.0</v>
      </c>
      <c r="W115" s="189">
        <v>10780.0</v>
      </c>
      <c r="X115" s="189">
        <v>7230.0</v>
      </c>
      <c r="Y115" s="96">
        <v>7202.0</v>
      </c>
      <c r="Z115" s="96">
        <v>7176.0</v>
      </c>
      <c r="AA115" s="96">
        <v>7842.0</v>
      </c>
      <c r="AB115" s="96">
        <v>8645.0</v>
      </c>
      <c r="AC115" s="96">
        <v>7834.0</v>
      </c>
      <c r="AD115" s="96">
        <v>8270.0</v>
      </c>
      <c r="AE115" s="96">
        <v>7236.0</v>
      </c>
      <c r="AF115" s="113">
        <v>4910.0</v>
      </c>
      <c r="AG115" s="91">
        <f t="shared" si="55"/>
        <v>253409</v>
      </c>
    </row>
    <row r="116">
      <c r="A116" s="188" t="s">
        <v>388</v>
      </c>
      <c r="B116" s="191">
        <f t="shared" ref="B116:AF116" si="56">SUM(B114:B115)</f>
        <v>19457</v>
      </c>
      <c r="C116" s="191">
        <f t="shared" si="56"/>
        <v>13593</v>
      </c>
      <c r="D116" s="191">
        <f t="shared" si="56"/>
        <v>12870</v>
      </c>
      <c r="E116" s="191">
        <f t="shared" si="56"/>
        <v>15186</v>
      </c>
      <c r="F116" s="191">
        <f t="shared" si="56"/>
        <v>9661</v>
      </c>
      <c r="G116" s="191">
        <f t="shared" si="56"/>
        <v>14092</v>
      </c>
      <c r="H116" s="191">
        <f t="shared" si="56"/>
        <v>12110</v>
      </c>
      <c r="I116" s="191">
        <f t="shared" si="56"/>
        <v>12221</v>
      </c>
      <c r="J116" s="191">
        <f t="shared" si="56"/>
        <v>9595</v>
      </c>
      <c r="K116" s="191">
        <f t="shared" si="56"/>
        <v>8824</v>
      </c>
      <c r="L116" s="191">
        <f t="shared" si="56"/>
        <v>8974</v>
      </c>
      <c r="M116" s="191">
        <f t="shared" si="56"/>
        <v>9097</v>
      </c>
      <c r="N116" s="191">
        <f t="shared" si="56"/>
        <v>7165</v>
      </c>
      <c r="O116" s="191">
        <f t="shared" si="56"/>
        <v>6733</v>
      </c>
      <c r="P116" s="191">
        <f t="shared" si="56"/>
        <v>10071</v>
      </c>
      <c r="Q116" s="191">
        <f t="shared" si="56"/>
        <v>8941</v>
      </c>
      <c r="R116" s="191">
        <f t="shared" si="56"/>
        <v>6497</v>
      </c>
      <c r="S116" s="191">
        <f t="shared" si="56"/>
        <v>7468</v>
      </c>
      <c r="T116" s="191">
        <f t="shared" si="56"/>
        <v>4398</v>
      </c>
      <c r="U116" s="191">
        <f t="shared" si="56"/>
        <v>9053</v>
      </c>
      <c r="V116" s="191">
        <f t="shared" si="56"/>
        <v>9654</v>
      </c>
      <c r="W116" s="191">
        <f t="shared" si="56"/>
        <v>10976</v>
      </c>
      <c r="X116" s="191">
        <f t="shared" si="56"/>
        <v>7703</v>
      </c>
      <c r="Y116" s="191">
        <f t="shared" si="56"/>
        <v>7408</v>
      </c>
      <c r="Z116" s="191">
        <f t="shared" si="56"/>
        <v>7936</v>
      </c>
      <c r="AA116" s="191">
        <f t="shared" si="56"/>
        <v>9543</v>
      </c>
      <c r="AB116" s="191">
        <f t="shared" si="56"/>
        <v>9261</v>
      </c>
      <c r="AC116" s="191">
        <f t="shared" si="56"/>
        <v>8036</v>
      </c>
      <c r="AD116" s="191">
        <f t="shared" si="56"/>
        <v>9126</v>
      </c>
      <c r="AE116" s="191">
        <f t="shared" si="56"/>
        <v>7491</v>
      </c>
      <c r="AF116" s="192">
        <f t="shared" si="56"/>
        <v>4910</v>
      </c>
      <c r="AG116" s="193">
        <f t="shared" si="55"/>
        <v>298050</v>
      </c>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7"/>
      <c r="AG117" s="24"/>
    </row>
    <row r="118">
      <c r="A118" s="165" t="s">
        <v>389</v>
      </c>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7"/>
      <c r="AG118" s="24"/>
    </row>
    <row r="119">
      <c r="A119" s="194" t="s">
        <v>390</v>
      </c>
      <c r="B119" s="195">
        <v>10.0</v>
      </c>
      <c r="C119" s="195">
        <v>11.0</v>
      </c>
      <c r="D119" s="195">
        <v>10.0</v>
      </c>
      <c r="E119" s="195">
        <v>13.0</v>
      </c>
      <c r="F119" s="195">
        <v>5.0</v>
      </c>
      <c r="G119" s="195">
        <v>16.0</v>
      </c>
      <c r="H119" s="195">
        <v>19.0</v>
      </c>
      <c r="I119" s="195">
        <v>11.0</v>
      </c>
      <c r="J119" s="195">
        <v>16.0</v>
      </c>
      <c r="K119" s="196">
        <v>7.0</v>
      </c>
      <c r="L119" s="196">
        <v>7.0</v>
      </c>
      <c r="M119" s="196">
        <v>8.0</v>
      </c>
      <c r="N119" s="196">
        <v>2.0</v>
      </c>
      <c r="O119" s="196">
        <v>5.0</v>
      </c>
      <c r="P119" s="196">
        <v>4.0</v>
      </c>
      <c r="Q119" s="196">
        <v>6.0</v>
      </c>
      <c r="R119" s="196">
        <v>1.0</v>
      </c>
      <c r="S119" s="196">
        <v>0.0</v>
      </c>
      <c r="T119" s="196">
        <v>4.0</v>
      </c>
      <c r="U119" s="196">
        <v>6.0</v>
      </c>
      <c r="V119" s="196">
        <v>0.0</v>
      </c>
      <c r="W119" s="196">
        <v>1.0</v>
      </c>
      <c r="X119" s="196">
        <v>2.0</v>
      </c>
      <c r="Y119" s="196">
        <v>1.0</v>
      </c>
      <c r="Z119" s="196">
        <v>3.0</v>
      </c>
      <c r="AA119" s="196">
        <v>7.0</v>
      </c>
      <c r="AB119" s="196">
        <v>3.0</v>
      </c>
      <c r="AC119" s="196">
        <v>1.0</v>
      </c>
      <c r="AD119" s="196">
        <v>4.0</v>
      </c>
      <c r="AE119" s="196">
        <v>1.0</v>
      </c>
      <c r="AF119" s="197">
        <v>0.0</v>
      </c>
      <c r="AG119" s="198">
        <f t="shared" ref="AG119:AG121" si="57">SUM(B119:AF119)</f>
        <v>184</v>
      </c>
    </row>
    <row r="120">
      <c r="A120" s="194" t="s">
        <v>391</v>
      </c>
      <c r="B120" s="195">
        <v>59.0</v>
      </c>
      <c r="C120" s="195">
        <v>38.0</v>
      </c>
      <c r="D120" s="195">
        <v>37.0</v>
      </c>
      <c r="E120" s="195">
        <v>50.0</v>
      </c>
      <c r="F120" s="195">
        <v>33.0</v>
      </c>
      <c r="G120" s="195">
        <v>39.0</v>
      </c>
      <c r="H120" s="195">
        <v>31.0</v>
      </c>
      <c r="I120" s="195">
        <v>34.0</v>
      </c>
      <c r="J120" s="195">
        <v>25.0</v>
      </c>
      <c r="K120" s="196">
        <v>25.0</v>
      </c>
      <c r="L120" s="196">
        <v>29.0</v>
      </c>
      <c r="M120" s="196">
        <v>27.0</v>
      </c>
      <c r="N120" s="196">
        <v>24.0</v>
      </c>
      <c r="O120" s="196">
        <v>20.0</v>
      </c>
      <c r="P120" s="196">
        <v>31.0</v>
      </c>
      <c r="Q120" s="196">
        <v>27.0</v>
      </c>
      <c r="R120" s="196">
        <v>24.0</v>
      </c>
      <c r="S120" s="196">
        <v>29.0</v>
      </c>
      <c r="T120" s="196">
        <v>13.0</v>
      </c>
      <c r="U120" s="196">
        <v>31.0</v>
      </c>
      <c r="V120" s="196">
        <v>35.0</v>
      </c>
      <c r="W120" s="196">
        <v>38.0</v>
      </c>
      <c r="X120" s="196">
        <v>24.0</v>
      </c>
      <c r="Y120" s="195">
        <v>26.0</v>
      </c>
      <c r="Z120" s="195">
        <v>27.0</v>
      </c>
      <c r="AA120" s="195">
        <v>32.0</v>
      </c>
      <c r="AB120" s="195">
        <v>34.0</v>
      </c>
      <c r="AC120" s="195">
        <v>28.0</v>
      </c>
      <c r="AD120" s="195">
        <v>32.0</v>
      </c>
      <c r="AE120" s="195">
        <v>30.0</v>
      </c>
      <c r="AF120" s="199">
        <v>20.0</v>
      </c>
      <c r="AG120" s="198">
        <f t="shared" si="57"/>
        <v>952</v>
      </c>
    </row>
    <row r="121">
      <c r="A121" s="194" t="s">
        <v>392</v>
      </c>
      <c r="B121" s="200">
        <f t="shared" ref="B121:Y121" si="58">SUM(B119:B120)</f>
        <v>69</v>
      </c>
      <c r="C121" s="200">
        <f t="shared" si="58"/>
        <v>49</v>
      </c>
      <c r="D121" s="200">
        <f t="shared" si="58"/>
        <v>47</v>
      </c>
      <c r="E121" s="200">
        <f t="shared" si="58"/>
        <v>63</v>
      </c>
      <c r="F121" s="200">
        <f t="shared" si="58"/>
        <v>38</v>
      </c>
      <c r="G121" s="200">
        <f t="shared" si="58"/>
        <v>55</v>
      </c>
      <c r="H121" s="200">
        <f t="shared" si="58"/>
        <v>50</v>
      </c>
      <c r="I121" s="200">
        <f t="shared" si="58"/>
        <v>45</v>
      </c>
      <c r="J121" s="200">
        <f t="shared" si="58"/>
        <v>41</v>
      </c>
      <c r="K121" s="200">
        <f t="shared" si="58"/>
        <v>32</v>
      </c>
      <c r="L121" s="200">
        <f t="shared" si="58"/>
        <v>36</v>
      </c>
      <c r="M121" s="200">
        <f t="shared" si="58"/>
        <v>35</v>
      </c>
      <c r="N121" s="200">
        <f t="shared" si="58"/>
        <v>26</v>
      </c>
      <c r="O121" s="200">
        <f t="shared" si="58"/>
        <v>25</v>
      </c>
      <c r="P121" s="200">
        <f t="shared" si="58"/>
        <v>35</v>
      </c>
      <c r="Q121" s="200">
        <f t="shared" si="58"/>
        <v>33</v>
      </c>
      <c r="R121" s="200">
        <f t="shared" si="58"/>
        <v>25</v>
      </c>
      <c r="S121" s="200">
        <f t="shared" si="58"/>
        <v>29</v>
      </c>
      <c r="T121" s="200">
        <f t="shared" si="58"/>
        <v>17</v>
      </c>
      <c r="U121" s="200">
        <f t="shared" si="58"/>
        <v>37</v>
      </c>
      <c r="V121" s="200">
        <f t="shared" si="58"/>
        <v>35</v>
      </c>
      <c r="W121" s="200">
        <f t="shared" si="58"/>
        <v>39</v>
      </c>
      <c r="X121" s="200">
        <f t="shared" si="58"/>
        <v>26</v>
      </c>
      <c r="Y121" s="200">
        <f t="shared" si="58"/>
        <v>27</v>
      </c>
      <c r="Z121" s="201">
        <v>30.0</v>
      </c>
      <c r="AA121" s="200">
        <f t="shared" ref="AA121:AF121" si="59">SUM(AA119:AA120)</f>
        <v>39</v>
      </c>
      <c r="AB121" s="200">
        <f t="shared" si="59"/>
        <v>37</v>
      </c>
      <c r="AC121" s="200">
        <f t="shared" si="59"/>
        <v>29</v>
      </c>
      <c r="AD121" s="200">
        <f t="shared" si="59"/>
        <v>36</v>
      </c>
      <c r="AE121" s="200">
        <f t="shared" si="59"/>
        <v>31</v>
      </c>
      <c r="AF121" s="202">
        <f t="shared" si="59"/>
        <v>20</v>
      </c>
      <c r="AG121" s="203">
        <f t="shared" si="57"/>
        <v>1136</v>
      </c>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7"/>
      <c r="AG122" s="24"/>
    </row>
    <row r="123">
      <c r="A123" s="165" t="s">
        <v>393</v>
      </c>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7"/>
      <c r="AG123" s="24"/>
    </row>
    <row r="124">
      <c r="A124" s="204" t="s">
        <v>394</v>
      </c>
      <c r="B124" s="96">
        <v>1803.0</v>
      </c>
      <c r="C124" s="96">
        <v>2383.0</v>
      </c>
      <c r="D124" s="96">
        <v>2691.0</v>
      </c>
      <c r="E124" s="96">
        <v>2534.0</v>
      </c>
      <c r="F124" s="96">
        <v>1350.0</v>
      </c>
      <c r="G124" s="96">
        <v>3689.0</v>
      </c>
      <c r="H124" s="205">
        <v>3870.0</v>
      </c>
      <c r="I124" s="205">
        <v>2174.0</v>
      </c>
      <c r="J124" s="205">
        <v>4076.0</v>
      </c>
      <c r="K124" s="205">
        <v>1732.0</v>
      </c>
      <c r="L124" s="205">
        <v>2050.0</v>
      </c>
      <c r="M124" s="205">
        <v>1182.0</v>
      </c>
      <c r="N124" s="205">
        <v>540.0</v>
      </c>
      <c r="O124" s="205">
        <v>1513.0</v>
      </c>
      <c r="P124" s="205">
        <v>1065.0</v>
      </c>
      <c r="Q124" s="205">
        <v>2022.0</v>
      </c>
      <c r="R124" s="205">
        <v>426.0</v>
      </c>
      <c r="S124" s="205">
        <v>0.0</v>
      </c>
      <c r="T124" s="205">
        <v>1005.0</v>
      </c>
      <c r="U124" s="205">
        <v>1512.0</v>
      </c>
      <c r="V124" s="205">
        <v>0.0</v>
      </c>
      <c r="W124" s="205">
        <v>196.0</v>
      </c>
      <c r="X124" s="205">
        <v>473.0</v>
      </c>
      <c r="Y124" s="205">
        <v>206.0</v>
      </c>
      <c r="Z124" s="205">
        <v>760.0</v>
      </c>
      <c r="AA124" s="205">
        <v>2053.0</v>
      </c>
      <c r="AB124" s="205">
        <v>598.0</v>
      </c>
      <c r="AC124" s="205">
        <v>202.0</v>
      </c>
      <c r="AD124" s="205">
        <v>202.0</v>
      </c>
      <c r="AE124" s="205">
        <v>255.0</v>
      </c>
      <c r="AF124" s="206">
        <v>196.0</v>
      </c>
      <c r="AG124" s="91">
        <f t="shared" ref="AG124:AG126" si="60">SUM(B124:AF124)</f>
        <v>42758</v>
      </c>
    </row>
    <row r="125">
      <c r="A125" s="204" t="s">
        <v>395</v>
      </c>
      <c r="B125" s="96">
        <v>136.0</v>
      </c>
      <c r="C125" s="96">
        <v>183.0</v>
      </c>
      <c r="D125" s="96">
        <v>193.0</v>
      </c>
      <c r="E125" s="96">
        <v>204.0</v>
      </c>
      <c r="F125" s="96">
        <v>112.0</v>
      </c>
      <c r="G125" s="205">
        <v>250.0</v>
      </c>
      <c r="H125" s="205">
        <v>306.0</v>
      </c>
      <c r="I125" s="205">
        <v>156.0</v>
      </c>
      <c r="J125" s="205">
        <v>271.0</v>
      </c>
      <c r="K125" s="205">
        <v>103.0</v>
      </c>
      <c r="L125" s="205">
        <v>131.0</v>
      </c>
      <c r="M125" s="205">
        <v>73.0</v>
      </c>
      <c r="N125" s="205">
        <v>34.0</v>
      </c>
      <c r="O125" s="205">
        <v>118.0</v>
      </c>
      <c r="P125" s="205">
        <v>83.0</v>
      </c>
      <c r="Q125" s="205">
        <v>111.0</v>
      </c>
      <c r="R125" s="205">
        <v>30.0</v>
      </c>
      <c r="S125" s="205">
        <v>0.0</v>
      </c>
      <c r="T125" s="205">
        <v>91.0</v>
      </c>
      <c r="U125" s="205">
        <v>102.0</v>
      </c>
      <c r="V125" s="205">
        <v>0.0</v>
      </c>
      <c r="W125" s="205">
        <v>17.0</v>
      </c>
      <c r="X125" s="205">
        <v>34.0</v>
      </c>
      <c r="Y125" s="205">
        <v>17.0</v>
      </c>
      <c r="Z125" s="205">
        <v>43.0</v>
      </c>
      <c r="AA125" s="205">
        <v>118.0</v>
      </c>
      <c r="AB125" s="205">
        <v>51.0</v>
      </c>
      <c r="AC125" s="205">
        <v>13.0</v>
      </c>
      <c r="AD125" s="205">
        <v>13.0</v>
      </c>
      <c r="AE125" s="205">
        <v>17.0</v>
      </c>
      <c r="AF125" s="206">
        <v>17.0</v>
      </c>
      <c r="AG125" s="91">
        <f t="shared" si="60"/>
        <v>3027</v>
      </c>
    </row>
    <row r="126">
      <c r="A126" s="207" t="s">
        <v>396</v>
      </c>
      <c r="B126" s="208">
        <f t="shared" ref="B126:AF126" si="61">SUM(B124:B125)</f>
        <v>1939</v>
      </c>
      <c r="C126" s="208">
        <f t="shared" si="61"/>
        <v>2566</v>
      </c>
      <c r="D126" s="208">
        <f t="shared" si="61"/>
        <v>2884</v>
      </c>
      <c r="E126" s="208">
        <f t="shared" si="61"/>
        <v>2738</v>
      </c>
      <c r="F126" s="208">
        <f t="shared" si="61"/>
        <v>1462</v>
      </c>
      <c r="G126" s="208">
        <f t="shared" si="61"/>
        <v>3939</v>
      </c>
      <c r="H126" s="208">
        <f t="shared" si="61"/>
        <v>4176</v>
      </c>
      <c r="I126" s="208">
        <f t="shared" si="61"/>
        <v>2330</v>
      </c>
      <c r="J126" s="208">
        <f t="shared" si="61"/>
        <v>4347</v>
      </c>
      <c r="K126" s="208">
        <f t="shared" si="61"/>
        <v>1835</v>
      </c>
      <c r="L126" s="208">
        <f t="shared" si="61"/>
        <v>2181</v>
      </c>
      <c r="M126" s="208">
        <f t="shared" si="61"/>
        <v>1255</v>
      </c>
      <c r="N126" s="208">
        <f t="shared" si="61"/>
        <v>574</v>
      </c>
      <c r="O126" s="208">
        <f t="shared" si="61"/>
        <v>1631</v>
      </c>
      <c r="P126" s="208">
        <f t="shared" si="61"/>
        <v>1148</v>
      </c>
      <c r="Q126" s="208">
        <f t="shared" si="61"/>
        <v>2133</v>
      </c>
      <c r="R126" s="208">
        <f t="shared" si="61"/>
        <v>456</v>
      </c>
      <c r="S126" s="208">
        <f t="shared" si="61"/>
        <v>0</v>
      </c>
      <c r="T126" s="208">
        <f t="shared" si="61"/>
        <v>1096</v>
      </c>
      <c r="U126" s="208">
        <f t="shared" si="61"/>
        <v>1614</v>
      </c>
      <c r="V126" s="208">
        <f t="shared" si="61"/>
        <v>0</v>
      </c>
      <c r="W126" s="208">
        <f t="shared" si="61"/>
        <v>213</v>
      </c>
      <c r="X126" s="208">
        <f t="shared" si="61"/>
        <v>507</v>
      </c>
      <c r="Y126" s="208">
        <f t="shared" si="61"/>
        <v>223</v>
      </c>
      <c r="Z126" s="208">
        <f t="shared" si="61"/>
        <v>803</v>
      </c>
      <c r="AA126" s="208">
        <f t="shared" si="61"/>
        <v>2171</v>
      </c>
      <c r="AB126" s="208">
        <f t="shared" si="61"/>
        <v>649</v>
      </c>
      <c r="AC126" s="208">
        <f t="shared" si="61"/>
        <v>215</v>
      </c>
      <c r="AD126" s="208">
        <f t="shared" si="61"/>
        <v>215</v>
      </c>
      <c r="AE126" s="208">
        <f t="shared" si="61"/>
        <v>272</v>
      </c>
      <c r="AF126" s="209">
        <f t="shared" si="61"/>
        <v>213</v>
      </c>
      <c r="AG126" s="210">
        <f t="shared" si="60"/>
        <v>45785</v>
      </c>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7"/>
      <c r="AG127" s="24"/>
    </row>
    <row r="128">
      <c r="A128" s="24" t="s">
        <v>397</v>
      </c>
      <c r="B128" s="211">
        <f t="shared" ref="B128:AG128" si="62">B126-B114</f>
        <v>-327</v>
      </c>
      <c r="C128" s="211">
        <f t="shared" si="62"/>
        <v>-82</v>
      </c>
      <c r="D128" s="212">
        <f t="shared" si="62"/>
        <v>389</v>
      </c>
      <c r="E128" s="211">
        <f t="shared" si="62"/>
        <v>-61</v>
      </c>
      <c r="F128" s="212">
        <f t="shared" si="62"/>
        <v>302</v>
      </c>
      <c r="G128" s="212">
        <f t="shared" si="62"/>
        <v>44</v>
      </c>
      <c r="H128" s="212">
        <f t="shared" si="62"/>
        <v>33</v>
      </c>
      <c r="I128" s="211">
        <f t="shared" si="62"/>
        <v>-406</v>
      </c>
      <c r="J128" s="212">
        <f t="shared" si="62"/>
        <v>271</v>
      </c>
      <c r="K128" s="212">
        <f t="shared" si="62"/>
        <v>126</v>
      </c>
      <c r="L128" s="212">
        <f t="shared" si="62"/>
        <v>327</v>
      </c>
      <c r="M128" s="211">
        <f t="shared" si="62"/>
        <v>-784</v>
      </c>
      <c r="N128" s="212">
        <f t="shared" si="62"/>
        <v>34</v>
      </c>
      <c r="O128" s="212">
        <f t="shared" si="62"/>
        <v>324</v>
      </c>
      <c r="P128" s="212">
        <f t="shared" si="62"/>
        <v>275</v>
      </c>
      <c r="Q128" s="212">
        <f t="shared" si="62"/>
        <v>111</v>
      </c>
      <c r="R128" s="212">
        <f t="shared" si="62"/>
        <v>236</v>
      </c>
      <c r="S128" s="211">
        <f t="shared" si="62"/>
        <v>0</v>
      </c>
      <c r="T128" s="212">
        <f t="shared" si="62"/>
        <v>91</v>
      </c>
      <c r="U128" s="212">
        <f t="shared" si="62"/>
        <v>25</v>
      </c>
      <c r="V128" s="211">
        <f t="shared" si="62"/>
        <v>0</v>
      </c>
      <c r="W128" s="212">
        <f t="shared" si="62"/>
        <v>17</v>
      </c>
      <c r="X128" s="212">
        <f t="shared" si="62"/>
        <v>34</v>
      </c>
      <c r="Y128" s="212">
        <f t="shared" si="62"/>
        <v>17</v>
      </c>
      <c r="Z128" s="212">
        <f t="shared" si="62"/>
        <v>43</v>
      </c>
      <c r="AA128" s="212">
        <f t="shared" si="62"/>
        <v>470</v>
      </c>
      <c r="AB128" s="212">
        <f t="shared" si="62"/>
        <v>33</v>
      </c>
      <c r="AC128" s="212">
        <f t="shared" si="62"/>
        <v>13</v>
      </c>
      <c r="AD128" s="211">
        <f t="shared" si="62"/>
        <v>-641</v>
      </c>
      <c r="AE128" s="212">
        <f t="shared" si="62"/>
        <v>17</v>
      </c>
      <c r="AF128" s="213">
        <f t="shared" si="62"/>
        <v>213</v>
      </c>
      <c r="AG128" s="212">
        <f t="shared" si="62"/>
        <v>1144</v>
      </c>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7"/>
      <c r="AG129" s="24"/>
    </row>
    <row r="130">
      <c r="A130" s="207" t="s">
        <v>398</v>
      </c>
      <c r="B130" s="214">
        <v>8.0</v>
      </c>
      <c r="C130" s="214">
        <v>10.0</v>
      </c>
      <c r="D130" s="214">
        <v>11.0</v>
      </c>
      <c r="E130" s="214">
        <v>13.0</v>
      </c>
      <c r="F130" s="214">
        <v>3.0</v>
      </c>
      <c r="G130" s="215">
        <v>15.0</v>
      </c>
      <c r="H130" s="215">
        <v>18.0</v>
      </c>
      <c r="I130" s="215">
        <v>9.0</v>
      </c>
      <c r="J130" s="215">
        <v>16.0</v>
      </c>
      <c r="K130" s="215">
        <v>7.0</v>
      </c>
      <c r="L130" s="215">
        <v>7.0</v>
      </c>
      <c r="M130" s="215">
        <v>5.0</v>
      </c>
      <c r="N130" s="215">
        <v>3.0</v>
      </c>
      <c r="O130" s="215">
        <v>5.0</v>
      </c>
      <c r="P130" s="215">
        <v>6.0</v>
      </c>
      <c r="Q130" s="215">
        <v>3.0</v>
      </c>
      <c r="R130" s="215">
        <v>2.0</v>
      </c>
      <c r="S130" s="215">
        <v>0.0</v>
      </c>
      <c r="T130" s="215">
        <v>4.0</v>
      </c>
      <c r="U130" s="215">
        <v>6.0</v>
      </c>
      <c r="V130" s="215">
        <v>0.0</v>
      </c>
      <c r="W130" s="215">
        <v>1.0</v>
      </c>
      <c r="X130" s="215">
        <v>2.0</v>
      </c>
      <c r="Y130" s="215">
        <v>0.0</v>
      </c>
      <c r="Z130" s="215">
        <v>5.0</v>
      </c>
      <c r="AA130" s="215">
        <v>7.0</v>
      </c>
      <c r="AB130" s="215">
        <v>1.0</v>
      </c>
      <c r="AC130" s="215">
        <v>1.0</v>
      </c>
      <c r="AD130" s="215">
        <v>2.0</v>
      </c>
      <c r="AE130" s="215">
        <v>1.0</v>
      </c>
      <c r="AF130" s="216">
        <v>0.0</v>
      </c>
      <c r="AG130" s="217">
        <f>SUM(B130:AF130)</f>
        <v>171</v>
      </c>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7"/>
      <c r="AG131" s="24"/>
    </row>
    <row r="132">
      <c r="A132" s="165" t="s">
        <v>399</v>
      </c>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7"/>
      <c r="AG132" s="24"/>
    </row>
    <row r="133">
      <c r="A133" s="204" t="s">
        <v>400</v>
      </c>
      <c r="B133" s="218">
        <v>16156.0</v>
      </c>
      <c r="C133" s="218">
        <v>10256.0</v>
      </c>
      <c r="D133" s="218">
        <v>9744.0</v>
      </c>
      <c r="E133" s="218">
        <v>11539.0</v>
      </c>
      <c r="F133" s="218">
        <v>7953.0</v>
      </c>
      <c r="G133" s="218">
        <v>9548.0</v>
      </c>
      <c r="H133" s="218">
        <v>7433.0</v>
      </c>
      <c r="I133" s="218">
        <v>8877.0</v>
      </c>
      <c r="J133" s="218">
        <v>5130.0</v>
      </c>
      <c r="K133" s="218">
        <v>6668.0</v>
      </c>
      <c r="L133" s="218">
        <v>6661.0</v>
      </c>
      <c r="M133" s="218">
        <v>6601.0</v>
      </c>
      <c r="N133" s="218">
        <v>6213.0</v>
      </c>
      <c r="O133" s="218">
        <v>5075.0</v>
      </c>
      <c r="P133" s="218">
        <v>8646.0</v>
      </c>
      <c r="Q133" s="218">
        <v>6465.0</v>
      </c>
      <c r="R133" s="218">
        <v>5867.0</v>
      </c>
      <c r="S133" s="218">
        <v>7208.0</v>
      </c>
      <c r="T133" s="218">
        <v>3184.0</v>
      </c>
      <c r="U133" s="219">
        <v>6956.0</v>
      </c>
      <c r="V133" s="219">
        <v>9045.0</v>
      </c>
      <c r="W133" s="219">
        <v>10129.0</v>
      </c>
      <c r="X133" s="219">
        <v>6794.0</v>
      </c>
      <c r="Y133" s="218">
        <v>6751.0</v>
      </c>
      <c r="Z133" s="218">
        <v>6710.0</v>
      </c>
      <c r="AA133" s="218">
        <v>7284.0</v>
      </c>
      <c r="AB133" s="218">
        <v>8102.0</v>
      </c>
      <c r="AC133" s="218">
        <v>7323.0</v>
      </c>
      <c r="AD133" s="218">
        <v>7723.0</v>
      </c>
      <c r="AE133" s="218">
        <v>6748.0</v>
      </c>
      <c r="AF133" s="220">
        <v>4585.0</v>
      </c>
      <c r="AG133" s="221">
        <f t="shared" ref="AG133:AG135" si="63">SUM(B133:AF133)</f>
        <v>237374</v>
      </c>
    </row>
    <row r="134">
      <c r="A134" s="204" t="s">
        <v>401</v>
      </c>
      <c r="B134" s="218">
        <v>1035.0</v>
      </c>
      <c r="C134" s="218">
        <v>649.0</v>
      </c>
      <c r="D134" s="218">
        <v>631.0</v>
      </c>
      <c r="E134" s="218">
        <v>764.0</v>
      </c>
      <c r="F134" s="218">
        <v>511.0</v>
      </c>
      <c r="G134" s="218">
        <v>619.0</v>
      </c>
      <c r="H134" s="218">
        <v>534.0</v>
      </c>
      <c r="I134" s="218">
        <v>608.0</v>
      </c>
      <c r="J134" s="218">
        <v>389.0</v>
      </c>
      <c r="K134" s="218">
        <v>396.0</v>
      </c>
      <c r="L134" s="218">
        <v>439.0</v>
      </c>
      <c r="M134" s="218">
        <v>440.0</v>
      </c>
      <c r="N134" s="218">
        <v>412.0</v>
      </c>
      <c r="O134" s="218">
        <v>351.0</v>
      </c>
      <c r="P134" s="218">
        <v>552.0</v>
      </c>
      <c r="Q134" s="218">
        <v>420.0</v>
      </c>
      <c r="R134" s="218">
        <v>363.0</v>
      </c>
      <c r="S134" s="218">
        <v>495.0</v>
      </c>
      <c r="T134" s="218">
        <v>192.0</v>
      </c>
      <c r="U134" s="219">
        <v>508.0</v>
      </c>
      <c r="V134" s="219">
        <v>609.0</v>
      </c>
      <c r="W134" s="219">
        <v>651.0</v>
      </c>
      <c r="X134" s="219">
        <v>382.0</v>
      </c>
      <c r="Y134" s="218">
        <v>421.0</v>
      </c>
      <c r="Z134" s="218">
        <v>449.0</v>
      </c>
      <c r="AA134" s="218">
        <v>541.0</v>
      </c>
      <c r="AB134" s="218">
        <v>543.0</v>
      </c>
      <c r="AC134" s="218">
        <v>511.0</v>
      </c>
      <c r="AD134" s="218">
        <v>547.0</v>
      </c>
      <c r="AE134" s="218">
        <v>437.0</v>
      </c>
      <c r="AF134" s="220">
        <v>308.0</v>
      </c>
      <c r="AG134" s="221">
        <f t="shared" si="63"/>
        <v>15707</v>
      </c>
    </row>
    <row r="135">
      <c r="A135" s="207" t="s">
        <v>402</v>
      </c>
      <c r="B135" s="222">
        <f t="shared" ref="B135:AF135" si="64">SUM(B133:B134)</f>
        <v>17191</v>
      </c>
      <c r="C135" s="222">
        <f t="shared" si="64"/>
        <v>10905</v>
      </c>
      <c r="D135" s="222">
        <f t="shared" si="64"/>
        <v>10375</v>
      </c>
      <c r="E135" s="222">
        <f t="shared" si="64"/>
        <v>12303</v>
      </c>
      <c r="F135" s="222">
        <f t="shared" si="64"/>
        <v>8464</v>
      </c>
      <c r="G135" s="222">
        <f t="shared" si="64"/>
        <v>10167</v>
      </c>
      <c r="H135" s="222">
        <f t="shared" si="64"/>
        <v>7967</v>
      </c>
      <c r="I135" s="222">
        <f t="shared" si="64"/>
        <v>9485</v>
      </c>
      <c r="J135" s="222">
        <f t="shared" si="64"/>
        <v>5519</v>
      </c>
      <c r="K135" s="222">
        <f t="shared" si="64"/>
        <v>7064</v>
      </c>
      <c r="L135" s="222">
        <f t="shared" si="64"/>
        <v>7100</v>
      </c>
      <c r="M135" s="222">
        <f t="shared" si="64"/>
        <v>7041</v>
      </c>
      <c r="N135" s="222">
        <f t="shared" si="64"/>
        <v>6625</v>
      </c>
      <c r="O135" s="222">
        <f t="shared" si="64"/>
        <v>5426</v>
      </c>
      <c r="P135" s="222">
        <f t="shared" si="64"/>
        <v>9198</v>
      </c>
      <c r="Q135" s="222">
        <f t="shared" si="64"/>
        <v>6885</v>
      </c>
      <c r="R135" s="222">
        <f t="shared" si="64"/>
        <v>6230</v>
      </c>
      <c r="S135" s="222">
        <f t="shared" si="64"/>
        <v>7703</v>
      </c>
      <c r="T135" s="222">
        <f t="shared" si="64"/>
        <v>3376</v>
      </c>
      <c r="U135" s="222">
        <f t="shared" si="64"/>
        <v>7464</v>
      </c>
      <c r="V135" s="222">
        <f t="shared" si="64"/>
        <v>9654</v>
      </c>
      <c r="W135" s="222">
        <f t="shared" si="64"/>
        <v>10780</v>
      </c>
      <c r="X135" s="222">
        <f t="shared" si="64"/>
        <v>7176</v>
      </c>
      <c r="Y135" s="222">
        <f t="shared" si="64"/>
        <v>7172</v>
      </c>
      <c r="Z135" s="222">
        <f t="shared" si="64"/>
        <v>7159</v>
      </c>
      <c r="AA135" s="222">
        <f t="shared" si="64"/>
        <v>7825</v>
      </c>
      <c r="AB135" s="222">
        <f t="shared" si="64"/>
        <v>8645</v>
      </c>
      <c r="AC135" s="222">
        <f t="shared" si="64"/>
        <v>7834</v>
      </c>
      <c r="AD135" s="222">
        <f t="shared" si="64"/>
        <v>8270</v>
      </c>
      <c r="AE135" s="222">
        <f t="shared" si="64"/>
        <v>7185</v>
      </c>
      <c r="AF135" s="223">
        <f t="shared" si="64"/>
        <v>4893</v>
      </c>
      <c r="AG135" s="224">
        <f t="shared" si="63"/>
        <v>253081</v>
      </c>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7"/>
      <c r="AG136" s="24"/>
    </row>
    <row r="137">
      <c r="A137" s="165" t="s">
        <v>403</v>
      </c>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7"/>
      <c r="AG137" s="24"/>
    </row>
    <row r="138">
      <c r="A138" s="207" t="s">
        <v>388</v>
      </c>
      <c r="B138" s="208">
        <f t="shared" ref="B138:AF138" si="65">B126+B135</f>
        <v>19130</v>
      </c>
      <c r="C138" s="208">
        <f t="shared" si="65"/>
        <v>13471</v>
      </c>
      <c r="D138" s="208">
        <f t="shared" si="65"/>
        <v>13259</v>
      </c>
      <c r="E138" s="208">
        <f t="shared" si="65"/>
        <v>15041</v>
      </c>
      <c r="F138" s="208">
        <f t="shared" si="65"/>
        <v>9926</v>
      </c>
      <c r="G138" s="208">
        <f t="shared" si="65"/>
        <v>14106</v>
      </c>
      <c r="H138" s="208">
        <f t="shared" si="65"/>
        <v>12143</v>
      </c>
      <c r="I138" s="208">
        <f t="shared" si="65"/>
        <v>11815</v>
      </c>
      <c r="J138" s="208">
        <f t="shared" si="65"/>
        <v>9866</v>
      </c>
      <c r="K138" s="208">
        <f t="shared" si="65"/>
        <v>8899</v>
      </c>
      <c r="L138" s="208">
        <f t="shared" si="65"/>
        <v>9281</v>
      </c>
      <c r="M138" s="208">
        <f t="shared" si="65"/>
        <v>8296</v>
      </c>
      <c r="N138" s="208">
        <f t="shared" si="65"/>
        <v>7199</v>
      </c>
      <c r="O138" s="208">
        <f t="shared" si="65"/>
        <v>7057</v>
      </c>
      <c r="P138" s="208">
        <f t="shared" si="65"/>
        <v>10346</v>
      </c>
      <c r="Q138" s="208">
        <f t="shared" si="65"/>
        <v>9018</v>
      </c>
      <c r="R138" s="208">
        <f t="shared" si="65"/>
        <v>6686</v>
      </c>
      <c r="S138" s="208">
        <f t="shared" si="65"/>
        <v>7703</v>
      </c>
      <c r="T138" s="208">
        <f t="shared" si="65"/>
        <v>4472</v>
      </c>
      <c r="U138" s="208">
        <f t="shared" si="65"/>
        <v>9078</v>
      </c>
      <c r="V138" s="208">
        <f t="shared" si="65"/>
        <v>9654</v>
      </c>
      <c r="W138" s="208">
        <f t="shared" si="65"/>
        <v>10993</v>
      </c>
      <c r="X138" s="208">
        <f t="shared" si="65"/>
        <v>7683</v>
      </c>
      <c r="Y138" s="208">
        <f t="shared" si="65"/>
        <v>7395</v>
      </c>
      <c r="Z138" s="208">
        <f t="shared" si="65"/>
        <v>7962</v>
      </c>
      <c r="AA138" s="208">
        <f t="shared" si="65"/>
        <v>9996</v>
      </c>
      <c r="AB138" s="208">
        <f t="shared" si="65"/>
        <v>9294</v>
      </c>
      <c r="AC138" s="208">
        <f t="shared" si="65"/>
        <v>8049</v>
      </c>
      <c r="AD138" s="208">
        <f t="shared" si="65"/>
        <v>8485</v>
      </c>
      <c r="AE138" s="208">
        <f t="shared" si="65"/>
        <v>7457</v>
      </c>
      <c r="AF138" s="209">
        <f t="shared" si="65"/>
        <v>5106</v>
      </c>
      <c r="AG138" s="210">
        <f t="shared" ref="AG138:AG139" si="67">SUM(B138:AF138)</f>
        <v>298866</v>
      </c>
    </row>
    <row r="139">
      <c r="A139" s="207" t="s">
        <v>392</v>
      </c>
      <c r="B139" s="225">
        <f t="shared" ref="B139:AF139" si="66">B120+B130</f>
        <v>67</v>
      </c>
      <c r="C139" s="225">
        <f t="shared" si="66"/>
        <v>48</v>
      </c>
      <c r="D139" s="225">
        <f t="shared" si="66"/>
        <v>48</v>
      </c>
      <c r="E139" s="225">
        <f t="shared" si="66"/>
        <v>63</v>
      </c>
      <c r="F139" s="225">
        <f t="shared" si="66"/>
        <v>36</v>
      </c>
      <c r="G139" s="225">
        <f t="shared" si="66"/>
        <v>54</v>
      </c>
      <c r="H139" s="225">
        <f t="shared" si="66"/>
        <v>49</v>
      </c>
      <c r="I139" s="225">
        <f t="shared" si="66"/>
        <v>43</v>
      </c>
      <c r="J139" s="225">
        <f t="shared" si="66"/>
        <v>41</v>
      </c>
      <c r="K139" s="225">
        <f t="shared" si="66"/>
        <v>32</v>
      </c>
      <c r="L139" s="225">
        <f t="shared" si="66"/>
        <v>36</v>
      </c>
      <c r="M139" s="225">
        <f t="shared" si="66"/>
        <v>32</v>
      </c>
      <c r="N139" s="225">
        <f t="shared" si="66"/>
        <v>27</v>
      </c>
      <c r="O139" s="225">
        <f t="shared" si="66"/>
        <v>25</v>
      </c>
      <c r="P139" s="225">
        <f t="shared" si="66"/>
        <v>37</v>
      </c>
      <c r="Q139" s="225">
        <f t="shared" si="66"/>
        <v>30</v>
      </c>
      <c r="R139" s="225">
        <f t="shared" si="66"/>
        <v>26</v>
      </c>
      <c r="S139" s="225">
        <f t="shared" si="66"/>
        <v>29</v>
      </c>
      <c r="T139" s="225">
        <f t="shared" si="66"/>
        <v>17</v>
      </c>
      <c r="U139" s="225">
        <f t="shared" si="66"/>
        <v>37</v>
      </c>
      <c r="V139" s="225">
        <f t="shared" si="66"/>
        <v>35</v>
      </c>
      <c r="W139" s="225">
        <f t="shared" si="66"/>
        <v>39</v>
      </c>
      <c r="X139" s="225">
        <f t="shared" si="66"/>
        <v>26</v>
      </c>
      <c r="Y139" s="225">
        <f t="shared" si="66"/>
        <v>26</v>
      </c>
      <c r="Z139" s="225">
        <f t="shared" si="66"/>
        <v>32</v>
      </c>
      <c r="AA139" s="225">
        <f t="shared" si="66"/>
        <v>39</v>
      </c>
      <c r="AB139" s="225">
        <f t="shared" si="66"/>
        <v>35</v>
      </c>
      <c r="AC139" s="225">
        <f t="shared" si="66"/>
        <v>29</v>
      </c>
      <c r="AD139" s="225">
        <f t="shared" si="66"/>
        <v>34</v>
      </c>
      <c r="AE139" s="225">
        <f t="shared" si="66"/>
        <v>31</v>
      </c>
      <c r="AF139" s="226">
        <f t="shared" si="66"/>
        <v>20</v>
      </c>
      <c r="AG139" s="227">
        <f t="shared" si="67"/>
        <v>1123</v>
      </c>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7"/>
      <c r="AG140" s="24"/>
    </row>
    <row r="141">
      <c r="A141" s="165" t="s">
        <v>404</v>
      </c>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7"/>
      <c r="AG141" s="24"/>
    </row>
    <row r="142">
      <c r="A142" s="170" t="s">
        <v>405</v>
      </c>
      <c r="B142" s="228">
        <v>62.0</v>
      </c>
      <c r="C142" s="228">
        <v>44.0</v>
      </c>
      <c r="D142" s="228">
        <v>42.0</v>
      </c>
      <c r="E142" s="228">
        <v>55.0</v>
      </c>
      <c r="F142" s="228">
        <v>30.0</v>
      </c>
      <c r="G142" s="228">
        <f>14+33</f>
        <v>47</v>
      </c>
      <c r="H142" s="228">
        <f>18+28</f>
        <v>46</v>
      </c>
      <c r="I142" s="195">
        <f>8+27</f>
        <v>35</v>
      </c>
      <c r="J142" s="195">
        <f>14+23</f>
        <v>37</v>
      </c>
      <c r="K142" s="196">
        <f>22+7</f>
        <v>29</v>
      </c>
      <c r="L142" s="195">
        <f>6+27</f>
        <v>33</v>
      </c>
      <c r="M142" s="196">
        <f>20+5</f>
        <v>25</v>
      </c>
      <c r="N142" s="196">
        <v>23.0</v>
      </c>
      <c r="O142" s="196">
        <v>22.0</v>
      </c>
      <c r="P142" s="196">
        <v>34.0</v>
      </c>
      <c r="Q142" s="196">
        <v>25.0</v>
      </c>
      <c r="R142" s="196">
        <v>19.0</v>
      </c>
      <c r="S142" s="196">
        <v>25.0</v>
      </c>
      <c r="T142" s="196">
        <v>12.0</v>
      </c>
      <c r="U142" s="196">
        <v>34.0</v>
      </c>
      <c r="V142" s="196">
        <v>31.0</v>
      </c>
      <c r="W142" s="196">
        <v>32.0</v>
      </c>
      <c r="X142" s="196">
        <v>18.0</v>
      </c>
      <c r="Y142" s="195">
        <f>1+20</f>
        <v>21</v>
      </c>
      <c r="Z142" s="195">
        <f>2+23</f>
        <v>25</v>
      </c>
      <c r="AA142" s="195">
        <f>5+27</f>
        <v>32</v>
      </c>
      <c r="AB142" s="195">
        <f>3+33</f>
        <v>36</v>
      </c>
      <c r="AC142" s="195">
        <f>1+28</f>
        <v>29</v>
      </c>
      <c r="AD142" s="195">
        <f>1+31</f>
        <v>32</v>
      </c>
      <c r="AE142" s="195">
        <f>1+23</f>
        <v>24</v>
      </c>
      <c r="AF142" s="199">
        <f>1+20</f>
        <v>21</v>
      </c>
      <c r="AG142" s="56">
        <f t="shared" ref="AG142:AG146" si="69">SUM(B142:AF142)</f>
        <v>980</v>
      </c>
    </row>
    <row r="143">
      <c r="A143" s="170" t="s">
        <v>406</v>
      </c>
      <c r="B143" s="228">
        <v>3.0</v>
      </c>
      <c r="C143" s="228">
        <v>2.0</v>
      </c>
      <c r="D143" s="228">
        <v>7.0</v>
      </c>
      <c r="E143" s="228">
        <v>3.0</v>
      </c>
      <c r="F143" s="228">
        <v>2.0</v>
      </c>
      <c r="G143" s="228">
        <f>5+1</f>
        <v>6</v>
      </c>
      <c r="H143" s="228">
        <v>2.0</v>
      </c>
      <c r="I143" s="195">
        <f>6+1</f>
        <v>7</v>
      </c>
      <c r="J143" s="195">
        <f t="shared" ref="J143:J144" si="70">1</f>
        <v>1</v>
      </c>
      <c r="K143" s="196">
        <v>1.0</v>
      </c>
      <c r="L143" s="195">
        <f>2</f>
        <v>2</v>
      </c>
      <c r="M143" s="196">
        <v>5.0</v>
      </c>
      <c r="N143" s="196">
        <v>4.0</v>
      </c>
      <c r="O143" s="196">
        <v>3.0</v>
      </c>
      <c r="P143" s="196">
        <v>3.0</v>
      </c>
      <c r="Q143" s="196">
        <v>5.0</v>
      </c>
      <c r="R143" s="196">
        <v>2.0</v>
      </c>
      <c r="S143" s="196">
        <v>2.0</v>
      </c>
      <c r="T143" s="196">
        <v>3.0</v>
      </c>
      <c r="U143" s="196">
        <v>2.0</v>
      </c>
      <c r="V143" s="196">
        <v>2.0</v>
      </c>
      <c r="W143" s="196">
        <v>3.0</v>
      </c>
      <c r="X143" s="196">
        <v>4.0</v>
      </c>
      <c r="Y143" s="195">
        <f>3</f>
        <v>3</v>
      </c>
      <c r="Z143" s="195">
        <f>1+2</f>
        <v>3</v>
      </c>
      <c r="AA143" s="195">
        <f>2+4</f>
        <v>6</v>
      </c>
      <c r="AB143" s="195">
        <f t="shared" ref="AB143:AD143" si="68">1</f>
        <v>1</v>
      </c>
      <c r="AC143" s="195">
        <f t="shared" si="68"/>
        <v>1</v>
      </c>
      <c r="AD143" s="195">
        <f t="shared" si="68"/>
        <v>1</v>
      </c>
      <c r="AE143" s="195">
        <f>2</f>
        <v>2</v>
      </c>
      <c r="AF143" s="197">
        <v>0.0</v>
      </c>
      <c r="AG143" s="56">
        <f t="shared" si="69"/>
        <v>91</v>
      </c>
    </row>
    <row r="144">
      <c r="A144" s="170" t="s">
        <v>407</v>
      </c>
      <c r="B144" s="228">
        <v>4.0</v>
      </c>
      <c r="C144" s="228">
        <v>1.0</v>
      </c>
      <c r="D144" s="228">
        <v>0.0</v>
      </c>
      <c r="E144" s="228">
        <v>0.0</v>
      </c>
      <c r="F144" s="228">
        <v>1.0</v>
      </c>
      <c r="G144" s="228">
        <v>0.0</v>
      </c>
      <c r="H144" s="228">
        <v>1.0</v>
      </c>
      <c r="I144" s="195">
        <v>0.0</v>
      </c>
      <c r="J144" s="195">
        <f t="shared" si="70"/>
        <v>1</v>
      </c>
      <c r="K144" s="196">
        <v>2.0</v>
      </c>
      <c r="L144" s="196">
        <v>0.0</v>
      </c>
      <c r="M144" s="196">
        <v>0.0</v>
      </c>
      <c r="N144" s="196">
        <v>0.0</v>
      </c>
      <c r="O144" s="196">
        <v>1.0</v>
      </c>
      <c r="P144" s="196">
        <v>1.0</v>
      </c>
      <c r="Q144" s="196">
        <v>0.0</v>
      </c>
      <c r="R144" s="196">
        <v>1.0</v>
      </c>
      <c r="S144" s="196">
        <v>1.0</v>
      </c>
      <c r="T144" s="196">
        <v>0.0</v>
      </c>
      <c r="U144" s="196">
        <v>0.0</v>
      </c>
      <c r="V144" s="196">
        <v>2.0</v>
      </c>
      <c r="W144" s="196">
        <v>3.0</v>
      </c>
      <c r="X144" s="196">
        <v>1.0</v>
      </c>
      <c r="Y144" s="195">
        <f t="shared" ref="Y144:Z144" si="71">1</f>
        <v>1</v>
      </c>
      <c r="Z144" s="195">
        <f t="shared" si="71"/>
        <v>1</v>
      </c>
      <c r="AA144" s="196">
        <v>0.0</v>
      </c>
      <c r="AB144" s="196">
        <v>0.0</v>
      </c>
      <c r="AC144" s="196">
        <v>0.0</v>
      </c>
      <c r="AD144" s="195">
        <f>1</f>
        <v>1</v>
      </c>
      <c r="AE144" s="196">
        <v>0.0</v>
      </c>
      <c r="AF144" s="197">
        <v>0.0</v>
      </c>
      <c r="AG144" s="56">
        <f t="shared" si="69"/>
        <v>23</v>
      </c>
    </row>
    <row r="145">
      <c r="A145" s="170" t="s">
        <v>408</v>
      </c>
      <c r="B145" s="228">
        <v>1.0</v>
      </c>
      <c r="C145" s="228">
        <v>1.0</v>
      </c>
      <c r="D145" s="228">
        <v>0.0</v>
      </c>
      <c r="E145" s="228">
        <v>0.0</v>
      </c>
      <c r="F145" s="228">
        <v>0.0</v>
      </c>
      <c r="G145" s="228">
        <v>0.0</v>
      </c>
      <c r="H145" s="228">
        <v>0.0</v>
      </c>
      <c r="I145" s="195">
        <v>1.0</v>
      </c>
      <c r="J145" s="195">
        <v>0.0</v>
      </c>
      <c r="K145" s="196">
        <v>0.0</v>
      </c>
      <c r="L145" s="196">
        <v>0.0</v>
      </c>
      <c r="M145" s="196">
        <v>0.0</v>
      </c>
      <c r="N145" s="196">
        <v>0.0</v>
      </c>
      <c r="O145" s="196">
        <v>0.0</v>
      </c>
      <c r="P145" s="196">
        <v>0.0</v>
      </c>
      <c r="Q145" s="196">
        <v>0.0</v>
      </c>
      <c r="R145" s="196">
        <v>0.0</v>
      </c>
      <c r="S145" s="196">
        <v>0.0</v>
      </c>
      <c r="T145" s="196">
        <v>0.0</v>
      </c>
      <c r="U145" s="196">
        <v>0.0</v>
      </c>
      <c r="V145" s="196">
        <v>0.0</v>
      </c>
      <c r="W145" s="196">
        <v>0.0</v>
      </c>
      <c r="X145" s="196">
        <v>0.0</v>
      </c>
      <c r="Y145" s="196">
        <v>0.0</v>
      </c>
      <c r="Z145" s="196">
        <v>0.0</v>
      </c>
      <c r="AA145" s="196">
        <v>0.0</v>
      </c>
      <c r="AB145" s="196">
        <v>0.0</v>
      </c>
      <c r="AC145" s="195">
        <f>1</f>
        <v>1</v>
      </c>
      <c r="AD145" s="196">
        <v>0.0</v>
      </c>
      <c r="AE145" s="196">
        <v>0.0</v>
      </c>
      <c r="AF145" s="197">
        <v>0.0</v>
      </c>
      <c r="AG145" s="56">
        <f t="shared" si="69"/>
        <v>4</v>
      </c>
    </row>
    <row r="146">
      <c r="A146" s="170" t="s">
        <v>409</v>
      </c>
      <c r="B146" s="228">
        <v>0.0</v>
      </c>
      <c r="C146" s="228">
        <v>0.0</v>
      </c>
      <c r="D146" s="228">
        <v>0.0</v>
      </c>
      <c r="E146" s="228">
        <v>0.0</v>
      </c>
      <c r="F146" s="228">
        <v>0.0</v>
      </c>
      <c r="G146" s="229">
        <v>0.0</v>
      </c>
      <c r="H146" s="229">
        <v>0.0</v>
      </c>
      <c r="I146" s="196">
        <v>0.0</v>
      </c>
      <c r="J146" s="196">
        <v>0.0</v>
      </c>
      <c r="K146" s="196">
        <v>0.0</v>
      </c>
      <c r="L146" s="196">
        <v>0.0</v>
      </c>
      <c r="M146" s="196">
        <v>0.0</v>
      </c>
      <c r="N146" s="196">
        <v>0.0</v>
      </c>
      <c r="O146" s="196">
        <v>0.0</v>
      </c>
      <c r="P146" s="196">
        <v>0.0</v>
      </c>
      <c r="Q146" s="196">
        <v>0.0</v>
      </c>
      <c r="R146" s="196">
        <v>0.0</v>
      </c>
      <c r="S146" s="196">
        <v>0.0</v>
      </c>
      <c r="T146" s="196">
        <v>0.0</v>
      </c>
      <c r="U146" s="196">
        <v>0.0</v>
      </c>
      <c r="V146" s="196">
        <v>0.0</v>
      </c>
      <c r="W146" s="196">
        <v>0.0</v>
      </c>
      <c r="X146" s="196">
        <v>0.0</v>
      </c>
      <c r="Y146" s="196">
        <v>0.0</v>
      </c>
      <c r="Z146" s="196">
        <v>0.0</v>
      </c>
      <c r="AA146" s="196">
        <v>0.0</v>
      </c>
      <c r="AB146" s="196">
        <v>0.0</v>
      </c>
      <c r="AC146" s="196">
        <v>0.0</v>
      </c>
      <c r="AD146" s="196">
        <v>0.0</v>
      </c>
      <c r="AE146" s="196">
        <v>0.0</v>
      </c>
      <c r="AF146" s="197">
        <v>0.0</v>
      </c>
      <c r="AG146" s="56">
        <f t="shared" si="69"/>
        <v>0</v>
      </c>
    </row>
    <row r="147">
      <c r="A147" s="230" t="s">
        <v>26</v>
      </c>
      <c r="B147" s="231">
        <f t="shared" ref="B147:AG147" si="72">B142+(2*B143)+(3*B144)+(5*B145)+(10*B146)</f>
        <v>85</v>
      </c>
      <c r="C147" s="231">
        <f t="shared" si="72"/>
        <v>56</v>
      </c>
      <c r="D147" s="231">
        <f t="shared" si="72"/>
        <v>56</v>
      </c>
      <c r="E147" s="231">
        <f t="shared" si="72"/>
        <v>61</v>
      </c>
      <c r="F147" s="231">
        <f t="shared" si="72"/>
        <v>37</v>
      </c>
      <c r="G147" s="231">
        <f t="shared" si="72"/>
        <v>59</v>
      </c>
      <c r="H147" s="231">
        <f t="shared" si="72"/>
        <v>53</v>
      </c>
      <c r="I147" s="225">
        <f t="shared" si="72"/>
        <v>54</v>
      </c>
      <c r="J147" s="225">
        <f t="shared" si="72"/>
        <v>42</v>
      </c>
      <c r="K147" s="225">
        <f t="shared" si="72"/>
        <v>37</v>
      </c>
      <c r="L147" s="225">
        <f t="shared" si="72"/>
        <v>37</v>
      </c>
      <c r="M147" s="225">
        <f t="shared" si="72"/>
        <v>35</v>
      </c>
      <c r="N147" s="225">
        <f t="shared" si="72"/>
        <v>31</v>
      </c>
      <c r="O147" s="225">
        <f t="shared" si="72"/>
        <v>31</v>
      </c>
      <c r="P147" s="225">
        <f t="shared" si="72"/>
        <v>43</v>
      </c>
      <c r="Q147" s="225">
        <f t="shared" si="72"/>
        <v>35</v>
      </c>
      <c r="R147" s="225">
        <f t="shared" si="72"/>
        <v>26</v>
      </c>
      <c r="S147" s="225">
        <f t="shared" si="72"/>
        <v>32</v>
      </c>
      <c r="T147" s="225">
        <f t="shared" si="72"/>
        <v>18</v>
      </c>
      <c r="U147" s="225">
        <f t="shared" si="72"/>
        <v>38</v>
      </c>
      <c r="V147" s="225">
        <f t="shared" si="72"/>
        <v>41</v>
      </c>
      <c r="W147" s="225">
        <f t="shared" si="72"/>
        <v>47</v>
      </c>
      <c r="X147" s="225">
        <f t="shared" si="72"/>
        <v>29</v>
      </c>
      <c r="Y147" s="225">
        <f t="shared" si="72"/>
        <v>30</v>
      </c>
      <c r="Z147" s="225">
        <f t="shared" si="72"/>
        <v>34</v>
      </c>
      <c r="AA147" s="225">
        <f t="shared" si="72"/>
        <v>44</v>
      </c>
      <c r="AB147" s="225">
        <f t="shared" si="72"/>
        <v>38</v>
      </c>
      <c r="AC147" s="225">
        <f t="shared" si="72"/>
        <v>36</v>
      </c>
      <c r="AD147" s="225">
        <f t="shared" si="72"/>
        <v>37</v>
      </c>
      <c r="AE147" s="225">
        <f t="shared" si="72"/>
        <v>28</v>
      </c>
      <c r="AF147" s="226">
        <f t="shared" si="72"/>
        <v>21</v>
      </c>
      <c r="AG147" s="232">
        <f t="shared" si="72"/>
        <v>1251</v>
      </c>
    </row>
    <row r="148">
      <c r="A148" s="24"/>
      <c r="B148" s="233"/>
      <c r="C148" s="233"/>
      <c r="D148" s="233"/>
      <c r="E148" s="233"/>
      <c r="F148" s="233"/>
      <c r="G148" s="233"/>
      <c r="H148" s="233"/>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7"/>
      <c r="AG148" s="24"/>
    </row>
    <row r="149">
      <c r="A149" s="170" t="s">
        <v>410</v>
      </c>
      <c r="B149" s="228">
        <v>38.0</v>
      </c>
      <c r="C149" s="228">
        <v>20.0</v>
      </c>
      <c r="D149" s="228">
        <v>27.0</v>
      </c>
      <c r="E149" s="228">
        <v>22.0</v>
      </c>
      <c r="F149" s="228">
        <v>15.0</v>
      </c>
      <c r="G149" s="228">
        <f>15+6</f>
        <v>21</v>
      </c>
      <c r="H149" s="228">
        <f>12+4</f>
        <v>16</v>
      </c>
      <c r="I149" s="195">
        <f>13+3</f>
        <v>16</v>
      </c>
      <c r="J149" s="195">
        <f>8+5</f>
        <v>13</v>
      </c>
      <c r="K149" s="196">
        <f>12+4</f>
        <v>16</v>
      </c>
      <c r="L149" s="195">
        <f>1+13</f>
        <v>14</v>
      </c>
      <c r="M149" s="195">
        <f>13+2</f>
        <v>15</v>
      </c>
      <c r="N149" s="196">
        <v>12.0</v>
      </c>
      <c r="O149" s="196">
        <v>11.0</v>
      </c>
      <c r="P149" s="196">
        <v>26.0</v>
      </c>
      <c r="Q149" s="196">
        <v>20.0</v>
      </c>
      <c r="R149" s="196">
        <v>11.0</v>
      </c>
      <c r="S149" s="196">
        <v>14.0</v>
      </c>
      <c r="T149" s="196">
        <v>6.0</v>
      </c>
      <c r="U149" s="196">
        <v>12.0</v>
      </c>
      <c r="V149" s="196">
        <v>22.0</v>
      </c>
      <c r="W149" s="196">
        <v>23.0</v>
      </c>
      <c r="X149" s="196">
        <v>16.0</v>
      </c>
      <c r="Y149" s="196">
        <f>11</f>
        <v>11</v>
      </c>
      <c r="Z149" s="196">
        <f>13</f>
        <v>13</v>
      </c>
      <c r="AA149" s="196">
        <f>4+7</f>
        <v>11</v>
      </c>
      <c r="AB149" s="196">
        <f>22</f>
        <v>22</v>
      </c>
      <c r="AC149" s="196">
        <f>11</f>
        <v>11</v>
      </c>
      <c r="AD149" s="196">
        <f>13</f>
        <v>13</v>
      </c>
      <c r="AE149" s="196">
        <f>1+9</f>
        <v>10</v>
      </c>
      <c r="AF149" s="197">
        <f>8</f>
        <v>8</v>
      </c>
      <c r="AG149" s="56">
        <f t="shared" ref="AG149:AG152" si="73">SUM(B149:AF149)</f>
        <v>505</v>
      </c>
    </row>
    <row r="150">
      <c r="A150" s="170" t="s">
        <v>411</v>
      </c>
      <c r="B150" s="228">
        <v>21.0</v>
      </c>
      <c r="C150" s="228">
        <v>14.0</v>
      </c>
      <c r="D150" s="228">
        <v>15.0</v>
      </c>
      <c r="E150" s="228">
        <v>11.0</v>
      </c>
      <c r="F150" s="228">
        <v>10.0</v>
      </c>
      <c r="G150" s="228">
        <f>8+5</f>
        <v>13</v>
      </c>
      <c r="H150" s="228">
        <f>8+3</f>
        <v>11</v>
      </c>
      <c r="I150" s="196">
        <f>6+1</f>
        <v>7</v>
      </c>
      <c r="J150" s="196">
        <f>6+3</f>
        <v>9</v>
      </c>
      <c r="K150" s="196">
        <f>6+5</f>
        <v>11</v>
      </c>
      <c r="L150" s="196">
        <f>2+11</f>
        <v>13</v>
      </c>
      <c r="M150" s="196">
        <f>6+3</f>
        <v>9</v>
      </c>
      <c r="N150" s="196">
        <v>6.0</v>
      </c>
      <c r="O150" s="196">
        <v>4.0</v>
      </c>
      <c r="P150" s="196">
        <v>7.0</v>
      </c>
      <c r="Q150" s="196">
        <v>14.0</v>
      </c>
      <c r="R150" s="196">
        <v>7.0</v>
      </c>
      <c r="S150" s="196">
        <v>6.0</v>
      </c>
      <c r="T150" s="196">
        <v>2.0</v>
      </c>
      <c r="U150" s="196">
        <v>9.0</v>
      </c>
      <c r="V150" s="196">
        <v>8.0</v>
      </c>
      <c r="W150" s="196">
        <v>13.0</v>
      </c>
      <c r="X150" s="196">
        <v>10.0</v>
      </c>
      <c r="Y150" s="196">
        <f>13</f>
        <v>13</v>
      </c>
      <c r="Z150" s="196">
        <f>5</f>
        <v>5</v>
      </c>
      <c r="AA150" s="196">
        <f>3+4</f>
        <v>7</v>
      </c>
      <c r="AB150" s="196">
        <f>8</f>
        <v>8</v>
      </c>
      <c r="AC150" s="196">
        <f>6</f>
        <v>6</v>
      </c>
      <c r="AD150" s="196">
        <f>10</f>
        <v>10</v>
      </c>
      <c r="AE150" s="196">
        <f>4</f>
        <v>4</v>
      </c>
      <c r="AF150" s="197">
        <f>5</f>
        <v>5</v>
      </c>
      <c r="AG150" s="56">
        <f t="shared" si="73"/>
        <v>288</v>
      </c>
    </row>
    <row r="151">
      <c r="A151" s="170" t="s">
        <v>412</v>
      </c>
      <c r="B151" s="228">
        <v>11.0</v>
      </c>
      <c r="C151" s="228">
        <v>4.0</v>
      </c>
      <c r="D151" s="228">
        <v>3.0</v>
      </c>
      <c r="E151" s="228">
        <v>3.0</v>
      </c>
      <c r="F151" s="228">
        <v>2.0</v>
      </c>
      <c r="G151" s="228">
        <f t="shared" ref="G151:G152" si="75">5+4</f>
        <v>9</v>
      </c>
      <c r="H151" s="228">
        <f t="shared" ref="H151:I151" si="74">4+1</f>
        <v>5</v>
      </c>
      <c r="I151" s="196">
        <f t="shared" si="74"/>
        <v>5</v>
      </c>
      <c r="J151" s="196">
        <v>1.0</v>
      </c>
      <c r="K151" s="196">
        <f>1+1</f>
        <v>2</v>
      </c>
      <c r="L151" s="196">
        <f>3</f>
        <v>3</v>
      </c>
      <c r="M151" s="196">
        <v>0.0</v>
      </c>
      <c r="N151" s="196">
        <v>1.0</v>
      </c>
      <c r="O151" s="24"/>
      <c r="P151" s="196">
        <v>2.0</v>
      </c>
      <c r="Q151" s="196">
        <v>5.0</v>
      </c>
      <c r="R151" s="196">
        <v>4.0</v>
      </c>
      <c r="S151" s="196">
        <v>3.0</v>
      </c>
      <c r="T151" s="196">
        <v>1.0</v>
      </c>
      <c r="U151" s="196">
        <v>2.0</v>
      </c>
      <c r="V151" s="196">
        <v>5.0</v>
      </c>
      <c r="W151" s="196">
        <v>7.0</v>
      </c>
      <c r="X151" s="196">
        <v>1.0</v>
      </c>
      <c r="Y151" s="196">
        <f>2</f>
        <v>2</v>
      </c>
      <c r="Z151" s="196">
        <f>3</f>
        <v>3</v>
      </c>
      <c r="AA151" s="196">
        <f>1+2</f>
        <v>3</v>
      </c>
      <c r="AB151" s="196">
        <v>0.0</v>
      </c>
      <c r="AC151" s="196">
        <f>5</f>
        <v>5</v>
      </c>
      <c r="AD151" s="196">
        <f>4</f>
        <v>4</v>
      </c>
      <c r="AE151" s="196">
        <f>2</f>
        <v>2</v>
      </c>
      <c r="AF151" s="197">
        <f>3</f>
        <v>3</v>
      </c>
      <c r="AG151" s="56">
        <f t="shared" si="73"/>
        <v>101</v>
      </c>
    </row>
    <row r="152">
      <c r="A152" s="170" t="s">
        <v>413</v>
      </c>
      <c r="B152" s="228">
        <v>12.0</v>
      </c>
      <c r="C152" s="228">
        <v>8.0</v>
      </c>
      <c r="D152" s="228">
        <v>7.0</v>
      </c>
      <c r="E152" s="228">
        <v>7.0</v>
      </c>
      <c r="F152" s="228">
        <v>1.0</v>
      </c>
      <c r="G152" s="228">
        <f t="shared" si="75"/>
        <v>9</v>
      </c>
      <c r="H152" s="228">
        <f>5+2</f>
        <v>7</v>
      </c>
      <c r="I152" s="196">
        <f>2+2</f>
        <v>4</v>
      </c>
      <c r="J152" s="196">
        <f>3+4</f>
        <v>7</v>
      </c>
      <c r="K152" s="196">
        <v>6.0</v>
      </c>
      <c r="L152" s="196">
        <f>1+6</f>
        <v>7</v>
      </c>
      <c r="M152" s="196">
        <f>1+1</f>
        <v>2</v>
      </c>
      <c r="N152" s="196">
        <v>4.0</v>
      </c>
      <c r="O152" s="196">
        <v>5.0</v>
      </c>
      <c r="P152" s="196">
        <v>5.0</v>
      </c>
      <c r="Q152" s="196">
        <v>10.0</v>
      </c>
      <c r="R152" s="196">
        <v>1.0</v>
      </c>
      <c r="S152" s="196">
        <v>5.0</v>
      </c>
      <c r="T152" s="196">
        <v>2.0</v>
      </c>
      <c r="U152" s="196">
        <v>5.0</v>
      </c>
      <c r="V152" s="196">
        <v>4.0</v>
      </c>
      <c r="W152" s="196">
        <v>7.0</v>
      </c>
      <c r="X152" s="196">
        <v>4.0</v>
      </c>
      <c r="Y152" s="196">
        <f>3</f>
        <v>3</v>
      </c>
      <c r="Z152" s="196">
        <f>4</f>
        <v>4</v>
      </c>
      <c r="AA152" s="196">
        <f>2+6</f>
        <v>8</v>
      </c>
      <c r="AB152" s="196">
        <f>7</f>
        <v>7</v>
      </c>
      <c r="AC152" s="196">
        <f>8</f>
        <v>8</v>
      </c>
      <c r="AD152" s="196">
        <f>1</f>
        <v>1</v>
      </c>
      <c r="AE152" s="196">
        <f>6</f>
        <v>6</v>
      </c>
      <c r="AF152" s="197">
        <f>1</f>
        <v>1</v>
      </c>
      <c r="AG152" s="56">
        <f t="shared" si="73"/>
        <v>167</v>
      </c>
    </row>
    <row r="153">
      <c r="A153" s="230" t="s">
        <v>26</v>
      </c>
      <c r="B153" s="231">
        <f t="shared" ref="B153:Q153" si="76">SUM(B149:B152)</f>
        <v>82</v>
      </c>
      <c r="C153" s="231">
        <f t="shared" si="76"/>
        <v>46</v>
      </c>
      <c r="D153" s="231">
        <f t="shared" si="76"/>
        <v>52</v>
      </c>
      <c r="E153" s="231">
        <f t="shared" si="76"/>
        <v>43</v>
      </c>
      <c r="F153" s="231">
        <f t="shared" si="76"/>
        <v>28</v>
      </c>
      <c r="G153" s="231">
        <f t="shared" si="76"/>
        <v>52</v>
      </c>
      <c r="H153" s="231">
        <f t="shared" si="76"/>
        <v>39</v>
      </c>
      <c r="I153" s="231">
        <f t="shared" si="76"/>
        <v>32</v>
      </c>
      <c r="J153" s="231">
        <f t="shared" si="76"/>
        <v>30</v>
      </c>
      <c r="K153" s="231">
        <f t="shared" si="76"/>
        <v>35</v>
      </c>
      <c r="L153" s="231">
        <f t="shared" si="76"/>
        <v>37</v>
      </c>
      <c r="M153" s="231">
        <f t="shared" si="76"/>
        <v>26</v>
      </c>
      <c r="N153" s="231">
        <f t="shared" si="76"/>
        <v>23</v>
      </c>
      <c r="O153" s="231">
        <f t="shared" si="76"/>
        <v>20</v>
      </c>
      <c r="P153" s="231">
        <f t="shared" si="76"/>
        <v>40</v>
      </c>
      <c r="Q153" s="231">
        <f t="shared" si="76"/>
        <v>49</v>
      </c>
      <c r="R153" s="231">
        <f>SUM(R148:R152)</f>
        <v>23</v>
      </c>
      <c r="S153" s="231">
        <f t="shared" ref="S153:AG153" si="77">SUM(S149:S152)</f>
        <v>28</v>
      </c>
      <c r="T153" s="231">
        <f t="shared" si="77"/>
        <v>11</v>
      </c>
      <c r="U153" s="231">
        <f t="shared" si="77"/>
        <v>28</v>
      </c>
      <c r="V153" s="231">
        <f t="shared" si="77"/>
        <v>39</v>
      </c>
      <c r="W153" s="231">
        <f t="shared" si="77"/>
        <v>50</v>
      </c>
      <c r="X153" s="231">
        <f t="shared" si="77"/>
        <v>31</v>
      </c>
      <c r="Y153" s="231">
        <f t="shared" si="77"/>
        <v>29</v>
      </c>
      <c r="Z153" s="231">
        <f t="shared" si="77"/>
        <v>25</v>
      </c>
      <c r="AA153" s="231">
        <f t="shared" si="77"/>
        <v>29</v>
      </c>
      <c r="AB153" s="231">
        <f t="shared" si="77"/>
        <v>37</v>
      </c>
      <c r="AC153" s="231">
        <f t="shared" si="77"/>
        <v>30</v>
      </c>
      <c r="AD153" s="231">
        <f t="shared" si="77"/>
        <v>28</v>
      </c>
      <c r="AE153" s="231">
        <f t="shared" si="77"/>
        <v>22</v>
      </c>
      <c r="AF153" s="234">
        <f t="shared" si="77"/>
        <v>17</v>
      </c>
      <c r="AG153" s="232">
        <f t="shared" si="77"/>
        <v>1061</v>
      </c>
    </row>
    <row r="154">
      <c r="A154" s="24"/>
      <c r="B154" s="167"/>
      <c r="C154" s="167"/>
      <c r="D154" s="167"/>
      <c r="E154" s="167"/>
      <c r="F154" s="167"/>
      <c r="G154" s="167"/>
      <c r="H154" s="167"/>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7"/>
      <c r="AG154" s="24"/>
    </row>
    <row r="155">
      <c r="A155" s="24"/>
      <c r="B155" s="167"/>
      <c r="C155" s="167"/>
      <c r="D155" s="167"/>
      <c r="E155" s="167"/>
      <c r="F155" s="167"/>
      <c r="G155" s="167"/>
      <c r="H155" s="167"/>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7"/>
      <c r="AG155" s="24"/>
    </row>
    <row r="156">
      <c r="A156" s="95" t="s">
        <v>256</v>
      </c>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7"/>
      <c r="AG156" s="24"/>
    </row>
    <row r="157">
      <c r="A157" s="24" t="s">
        <v>414</v>
      </c>
      <c r="B157" s="235">
        <f t="shared" ref="B157:AF157" si="78">B29+B31+B33+B35+B36+B39+B40+B37+B38</f>
        <v>7568.53</v>
      </c>
      <c r="C157" s="236">
        <f t="shared" si="78"/>
        <v>6036.26</v>
      </c>
      <c r="D157" s="237">
        <f t="shared" si="78"/>
        <v>6059.62</v>
      </c>
      <c r="E157" s="238">
        <f t="shared" si="78"/>
        <v>5786.47</v>
      </c>
      <c r="F157" s="239">
        <f t="shared" si="78"/>
        <v>6924.16</v>
      </c>
      <c r="G157" s="240">
        <f t="shared" si="78"/>
        <v>5820.36</v>
      </c>
      <c r="H157" s="241">
        <f t="shared" si="78"/>
        <v>3903</v>
      </c>
      <c r="I157" s="242">
        <f t="shared" si="78"/>
        <v>3206.32</v>
      </c>
      <c r="J157" s="243">
        <f t="shared" si="78"/>
        <v>3728.87</v>
      </c>
      <c r="K157" s="244">
        <f t="shared" si="78"/>
        <v>4386.69</v>
      </c>
      <c r="L157" s="245">
        <f t="shared" si="78"/>
        <v>3396.81</v>
      </c>
      <c r="M157" s="246">
        <f t="shared" si="78"/>
        <v>2875.81</v>
      </c>
      <c r="N157" s="247">
        <f t="shared" si="78"/>
        <v>3021.01</v>
      </c>
      <c r="O157" s="248">
        <f t="shared" si="78"/>
        <v>2767.75</v>
      </c>
      <c r="P157" s="249">
        <f t="shared" si="78"/>
        <v>2602.34</v>
      </c>
      <c r="Q157" s="250">
        <f t="shared" si="78"/>
        <v>2596.32</v>
      </c>
      <c r="R157" s="251">
        <f t="shared" si="78"/>
        <v>2533.86</v>
      </c>
      <c r="S157" s="252">
        <f t="shared" si="78"/>
        <v>2969.48</v>
      </c>
      <c r="T157" s="253">
        <f t="shared" si="78"/>
        <v>3134.11</v>
      </c>
      <c r="U157" s="254">
        <f t="shared" si="78"/>
        <v>3006.01</v>
      </c>
      <c r="V157" s="255">
        <f t="shared" si="78"/>
        <v>2927.33</v>
      </c>
      <c r="W157" s="254">
        <f t="shared" si="78"/>
        <v>3004.3</v>
      </c>
      <c r="X157" s="247">
        <f t="shared" si="78"/>
        <v>3024.96</v>
      </c>
      <c r="Y157" s="256">
        <f t="shared" si="78"/>
        <v>3551.34</v>
      </c>
      <c r="Z157" s="257">
        <f t="shared" si="78"/>
        <v>3797.35</v>
      </c>
      <c r="AA157" s="242">
        <f t="shared" si="78"/>
        <v>3202.78</v>
      </c>
      <c r="AB157" s="258">
        <f t="shared" si="78"/>
        <v>3053.06</v>
      </c>
      <c r="AC157" s="259">
        <f t="shared" si="78"/>
        <v>2778.85</v>
      </c>
      <c r="AD157" s="260">
        <f t="shared" si="78"/>
        <v>2632.33</v>
      </c>
      <c r="AE157" s="261">
        <f t="shared" si="78"/>
        <v>1077.86</v>
      </c>
      <c r="AF157" s="262">
        <f t="shared" si="78"/>
        <v>66.72</v>
      </c>
      <c r="AG157" s="91">
        <f t="shared" ref="AG157:AG170" si="80">SUM(B157:AF157)</f>
        <v>111440.66</v>
      </c>
    </row>
    <row r="158">
      <c r="A158" s="24" t="s">
        <v>415</v>
      </c>
      <c r="B158" s="96">
        <f t="shared" ref="B158:AF158" si="79">B30+B32+B34</f>
        <v>58.641</v>
      </c>
      <c r="C158" s="96">
        <f t="shared" si="79"/>
        <v>48.9165</v>
      </c>
      <c r="D158" s="96">
        <f t="shared" si="79"/>
        <v>42.7185</v>
      </c>
      <c r="E158" s="96">
        <f t="shared" si="79"/>
        <v>42.6645</v>
      </c>
      <c r="F158" s="96">
        <f t="shared" si="79"/>
        <v>49.6995</v>
      </c>
      <c r="G158" s="96">
        <f t="shared" si="79"/>
        <v>39.8325</v>
      </c>
      <c r="H158" s="96">
        <f t="shared" si="79"/>
        <v>38.4435</v>
      </c>
      <c r="I158" s="96">
        <f t="shared" si="79"/>
        <v>33.054</v>
      </c>
      <c r="J158" s="96">
        <f t="shared" si="79"/>
        <v>45.453</v>
      </c>
      <c r="K158" s="96">
        <f t="shared" si="79"/>
        <v>44.9325</v>
      </c>
      <c r="L158" s="96">
        <f t="shared" si="79"/>
        <v>51.645</v>
      </c>
      <c r="M158" s="96">
        <f t="shared" si="79"/>
        <v>49.7235</v>
      </c>
      <c r="N158" s="96">
        <f t="shared" si="79"/>
        <v>52.5735</v>
      </c>
      <c r="O158" s="96">
        <f t="shared" si="79"/>
        <v>52.6455</v>
      </c>
      <c r="P158" s="96">
        <f t="shared" si="79"/>
        <v>55.1865</v>
      </c>
      <c r="Q158" s="96">
        <f t="shared" si="79"/>
        <v>59.4525</v>
      </c>
      <c r="R158" s="96">
        <f t="shared" si="79"/>
        <v>56.0205</v>
      </c>
      <c r="S158" s="96">
        <f t="shared" si="79"/>
        <v>36.84</v>
      </c>
      <c r="T158" s="96">
        <f t="shared" si="79"/>
        <v>42.1815</v>
      </c>
      <c r="U158" s="96">
        <f t="shared" si="79"/>
        <v>51.681</v>
      </c>
      <c r="V158" s="96">
        <f t="shared" si="79"/>
        <v>71.628</v>
      </c>
      <c r="W158" s="96">
        <f t="shared" si="79"/>
        <v>77.835</v>
      </c>
      <c r="X158" s="96">
        <f t="shared" si="79"/>
        <v>91.2225</v>
      </c>
      <c r="Y158" s="96">
        <f t="shared" si="79"/>
        <v>90.732</v>
      </c>
      <c r="Z158" s="96">
        <f t="shared" si="79"/>
        <v>61.0605</v>
      </c>
      <c r="AA158" s="96">
        <f t="shared" si="79"/>
        <v>0</v>
      </c>
      <c r="AB158" s="96">
        <f t="shared" si="79"/>
        <v>0</v>
      </c>
      <c r="AC158" s="96">
        <f t="shared" si="79"/>
        <v>0</v>
      </c>
      <c r="AD158" s="96">
        <f t="shared" si="79"/>
        <v>0</v>
      </c>
      <c r="AE158" s="96">
        <f t="shared" si="79"/>
        <v>0</v>
      </c>
      <c r="AF158" s="113">
        <f t="shared" si="79"/>
        <v>0</v>
      </c>
      <c r="AG158" s="91">
        <f t="shared" si="80"/>
        <v>1344.783</v>
      </c>
    </row>
    <row r="159">
      <c r="A159" s="24" t="s">
        <v>416</v>
      </c>
      <c r="B159" s="96">
        <f t="shared" ref="B159:AF159" si="81">B126*0.06</f>
        <v>116.34</v>
      </c>
      <c r="C159" s="96">
        <f t="shared" si="81"/>
        <v>153.96</v>
      </c>
      <c r="D159" s="96">
        <f t="shared" si="81"/>
        <v>173.04</v>
      </c>
      <c r="E159" s="96">
        <f t="shared" si="81"/>
        <v>164.28</v>
      </c>
      <c r="F159" s="96">
        <f t="shared" si="81"/>
        <v>87.72</v>
      </c>
      <c r="G159" s="96">
        <f t="shared" si="81"/>
        <v>236.34</v>
      </c>
      <c r="H159" s="96">
        <f t="shared" si="81"/>
        <v>250.56</v>
      </c>
      <c r="I159" s="96">
        <f t="shared" si="81"/>
        <v>139.8</v>
      </c>
      <c r="J159" s="96">
        <f t="shared" si="81"/>
        <v>260.82</v>
      </c>
      <c r="K159" s="96">
        <f t="shared" si="81"/>
        <v>110.1</v>
      </c>
      <c r="L159" s="96">
        <f t="shared" si="81"/>
        <v>130.86</v>
      </c>
      <c r="M159" s="96">
        <f t="shared" si="81"/>
        <v>75.3</v>
      </c>
      <c r="N159" s="96">
        <f t="shared" si="81"/>
        <v>34.44</v>
      </c>
      <c r="O159" s="96">
        <f t="shared" si="81"/>
        <v>97.86</v>
      </c>
      <c r="P159" s="96">
        <f t="shared" si="81"/>
        <v>68.88</v>
      </c>
      <c r="Q159" s="96">
        <f t="shared" si="81"/>
        <v>127.98</v>
      </c>
      <c r="R159" s="96">
        <f t="shared" si="81"/>
        <v>27.36</v>
      </c>
      <c r="S159" s="96">
        <f t="shared" si="81"/>
        <v>0</v>
      </c>
      <c r="T159" s="96">
        <f t="shared" si="81"/>
        <v>65.76</v>
      </c>
      <c r="U159" s="96">
        <f t="shared" si="81"/>
        <v>96.84</v>
      </c>
      <c r="V159" s="96">
        <f t="shared" si="81"/>
        <v>0</v>
      </c>
      <c r="W159" s="96">
        <f t="shared" si="81"/>
        <v>12.78</v>
      </c>
      <c r="X159" s="96">
        <f t="shared" si="81"/>
        <v>30.42</v>
      </c>
      <c r="Y159" s="96">
        <f t="shared" si="81"/>
        <v>13.38</v>
      </c>
      <c r="Z159" s="96">
        <f t="shared" si="81"/>
        <v>48.18</v>
      </c>
      <c r="AA159" s="96">
        <f t="shared" si="81"/>
        <v>130.26</v>
      </c>
      <c r="AB159" s="96">
        <f t="shared" si="81"/>
        <v>38.94</v>
      </c>
      <c r="AC159" s="96">
        <f t="shared" si="81"/>
        <v>12.9</v>
      </c>
      <c r="AD159" s="96">
        <f t="shared" si="81"/>
        <v>12.9</v>
      </c>
      <c r="AE159" s="96">
        <f t="shared" si="81"/>
        <v>16.32</v>
      </c>
      <c r="AF159" s="113">
        <f t="shared" si="81"/>
        <v>12.78</v>
      </c>
      <c r="AG159" s="91">
        <f t="shared" si="80"/>
        <v>2747.1</v>
      </c>
    </row>
    <row r="160">
      <c r="A160" s="24" t="s">
        <v>238</v>
      </c>
      <c r="B160" s="96">
        <f t="shared" ref="B160:AF160" si="82">B138*0.026</f>
        <v>497.38</v>
      </c>
      <c r="C160" s="96">
        <f t="shared" si="82"/>
        <v>350.246</v>
      </c>
      <c r="D160" s="96">
        <f t="shared" si="82"/>
        <v>344.734</v>
      </c>
      <c r="E160" s="96">
        <f t="shared" si="82"/>
        <v>391.066</v>
      </c>
      <c r="F160" s="96">
        <f t="shared" si="82"/>
        <v>258.076</v>
      </c>
      <c r="G160" s="96">
        <f t="shared" si="82"/>
        <v>366.756</v>
      </c>
      <c r="H160" s="96">
        <f t="shared" si="82"/>
        <v>315.718</v>
      </c>
      <c r="I160" s="96">
        <f t="shared" si="82"/>
        <v>307.19</v>
      </c>
      <c r="J160" s="96">
        <f t="shared" si="82"/>
        <v>256.516</v>
      </c>
      <c r="K160" s="96">
        <f t="shared" si="82"/>
        <v>231.374</v>
      </c>
      <c r="L160" s="96">
        <f t="shared" si="82"/>
        <v>241.306</v>
      </c>
      <c r="M160" s="96">
        <f t="shared" si="82"/>
        <v>215.696</v>
      </c>
      <c r="N160" s="96">
        <f t="shared" si="82"/>
        <v>187.174</v>
      </c>
      <c r="O160" s="96">
        <f t="shared" si="82"/>
        <v>183.482</v>
      </c>
      <c r="P160" s="96">
        <f t="shared" si="82"/>
        <v>268.996</v>
      </c>
      <c r="Q160" s="96">
        <f t="shared" si="82"/>
        <v>234.468</v>
      </c>
      <c r="R160" s="96">
        <f t="shared" si="82"/>
        <v>173.836</v>
      </c>
      <c r="S160" s="96">
        <f t="shared" si="82"/>
        <v>200.278</v>
      </c>
      <c r="T160" s="96">
        <f t="shared" si="82"/>
        <v>116.272</v>
      </c>
      <c r="U160" s="96">
        <f t="shared" si="82"/>
        <v>236.028</v>
      </c>
      <c r="V160" s="96">
        <f t="shared" si="82"/>
        <v>251.004</v>
      </c>
      <c r="W160" s="96">
        <f t="shared" si="82"/>
        <v>285.818</v>
      </c>
      <c r="X160" s="96">
        <f t="shared" si="82"/>
        <v>199.758</v>
      </c>
      <c r="Y160" s="96">
        <f t="shared" si="82"/>
        <v>192.27</v>
      </c>
      <c r="Z160" s="96">
        <f t="shared" si="82"/>
        <v>207.012</v>
      </c>
      <c r="AA160" s="96">
        <f t="shared" si="82"/>
        <v>259.896</v>
      </c>
      <c r="AB160" s="96">
        <f t="shared" si="82"/>
        <v>241.644</v>
      </c>
      <c r="AC160" s="96">
        <f t="shared" si="82"/>
        <v>209.274</v>
      </c>
      <c r="AD160" s="96">
        <f t="shared" si="82"/>
        <v>220.61</v>
      </c>
      <c r="AE160" s="96">
        <f t="shared" si="82"/>
        <v>193.882</v>
      </c>
      <c r="AF160" s="113">
        <f t="shared" si="82"/>
        <v>132.756</v>
      </c>
      <c r="AG160" s="91">
        <f t="shared" si="80"/>
        <v>7770.516</v>
      </c>
    </row>
    <row r="161">
      <c r="A161" s="24" t="s">
        <v>241</v>
      </c>
      <c r="B161" s="96">
        <f t="shared" ref="B161:AF161" si="83">B139*0.3</f>
        <v>20.1</v>
      </c>
      <c r="C161" s="96">
        <f t="shared" si="83"/>
        <v>14.4</v>
      </c>
      <c r="D161" s="96">
        <f t="shared" si="83"/>
        <v>14.4</v>
      </c>
      <c r="E161" s="96">
        <f t="shared" si="83"/>
        <v>18.9</v>
      </c>
      <c r="F161" s="96">
        <f t="shared" si="83"/>
        <v>10.8</v>
      </c>
      <c r="G161" s="96">
        <f t="shared" si="83"/>
        <v>16.2</v>
      </c>
      <c r="H161" s="96">
        <f t="shared" si="83"/>
        <v>14.7</v>
      </c>
      <c r="I161" s="96">
        <f t="shared" si="83"/>
        <v>12.9</v>
      </c>
      <c r="J161" s="96">
        <f t="shared" si="83"/>
        <v>12.3</v>
      </c>
      <c r="K161" s="96">
        <f t="shared" si="83"/>
        <v>9.6</v>
      </c>
      <c r="L161" s="96">
        <f t="shared" si="83"/>
        <v>10.8</v>
      </c>
      <c r="M161" s="96">
        <f t="shared" si="83"/>
        <v>9.6</v>
      </c>
      <c r="N161" s="96">
        <f t="shared" si="83"/>
        <v>8.1</v>
      </c>
      <c r="O161" s="96">
        <f t="shared" si="83"/>
        <v>7.5</v>
      </c>
      <c r="P161" s="96">
        <f t="shared" si="83"/>
        <v>11.1</v>
      </c>
      <c r="Q161" s="96">
        <f t="shared" si="83"/>
        <v>9</v>
      </c>
      <c r="R161" s="96">
        <f t="shared" si="83"/>
        <v>7.8</v>
      </c>
      <c r="S161" s="96">
        <f t="shared" si="83"/>
        <v>8.7</v>
      </c>
      <c r="T161" s="96">
        <f t="shared" si="83"/>
        <v>5.1</v>
      </c>
      <c r="U161" s="96">
        <f t="shared" si="83"/>
        <v>11.1</v>
      </c>
      <c r="V161" s="96">
        <f t="shared" si="83"/>
        <v>10.5</v>
      </c>
      <c r="W161" s="96">
        <f t="shared" si="83"/>
        <v>11.7</v>
      </c>
      <c r="X161" s="96">
        <f t="shared" si="83"/>
        <v>7.8</v>
      </c>
      <c r="Y161" s="96">
        <f t="shared" si="83"/>
        <v>7.8</v>
      </c>
      <c r="Z161" s="96">
        <f t="shared" si="83"/>
        <v>9.6</v>
      </c>
      <c r="AA161" s="96">
        <f t="shared" si="83"/>
        <v>11.7</v>
      </c>
      <c r="AB161" s="96">
        <f t="shared" si="83"/>
        <v>10.5</v>
      </c>
      <c r="AC161" s="96">
        <f t="shared" si="83"/>
        <v>8.7</v>
      </c>
      <c r="AD161" s="96">
        <f t="shared" si="83"/>
        <v>10.2</v>
      </c>
      <c r="AE161" s="96">
        <f t="shared" si="83"/>
        <v>9.3</v>
      </c>
      <c r="AF161" s="113">
        <f t="shared" si="83"/>
        <v>6</v>
      </c>
      <c r="AG161" s="91">
        <f t="shared" si="80"/>
        <v>336.9</v>
      </c>
    </row>
    <row r="162">
      <c r="A162" s="129" t="s">
        <v>274</v>
      </c>
      <c r="B162" s="96">
        <f t="shared" ref="B162:AF162" si="84">B147*86.58</f>
        <v>7359.3</v>
      </c>
      <c r="C162" s="96">
        <f t="shared" si="84"/>
        <v>4848.48</v>
      </c>
      <c r="D162" s="96">
        <f t="shared" si="84"/>
        <v>4848.48</v>
      </c>
      <c r="E162" s="96">
        <f t="shared" si="84"/>
        <v>5281.38</v>
      </c>
      <c r="F162" s="96">
        <f t="shared" si="84"/>
        <v>3203.46</v>
      </c>
      <c r="G162" s="96">
        <f t="shared" si="84"/>
        <v>5108.22</v>
      </c>
      <c r="H162" s="96">
        <f t="shared" si="84"/>
        <v>4588.74</v>
      </c>
      <c r="I162" s="96">
        <f t="shared" si="84"/>
        <v>4675.32</v>
      </c>
      <c r="J162" s="96">
        <f t="shared" si="84"/>
        <v>3636.36</v>
      </c>
      <c r="K162" s="96">
        <f t="shared" si="84"/>
        <v>3203.46</v>
      </c>
      <c r="L162" s="96">
        <f t="shared" si="84"/>
        <v>3203.46</v>
      </c>
      <c r="M162" s="96">
        <f t="shared" si="84"/>
        <v>3030.3</v>
      </c>
      <c r="N162" s="96">
        <f t="shared" si="84"/>
        <v>2683.98</v>
      </c>
      <c r="O162" s="96">
        <f t="shared" si="84"/>
        <v>2683.98</v>
      </c>
      <c r="P162" s="96">
        <f t="shared" si="84"/>
        <v>3722.94</v>
      </c>
      <c r="Q162" s="96">
        <f t="shared" si="84"/>
        <v>3030.3</v>
      </c>
      <c r="R162" s="96">
        <f t="shared" si="84"/>
        <v>2251.08</v>
      </c>
      <c r="S162" s="96">
        <f t="shared" si="84"/>
        <v>2770.56</v>
      </c>
      <c r="T162" s="96">
        <f t="shared" si="84"/>
        <v>1558.44</v>
      </c>
      <c r="U162" s="96">
        <f t="shared" si="84"/>
        <v>3290.04</v>
      </c>
      <c r="V162" s="96">
        <f t="shared" si="84"/>
        <v>3549.78</v>
      </c>
      <c r="W162" s="96">
        <f t="shared" si="84"/>
        <v>4069.26</v>
      </c>
      <c r="X162" s="96">
        <f t="shared" si="84"/>
        <v>2510.82</v>
      </c>
      <c r="Y162" s="96">
        <f t="shared" si="84"/>
        <v>2597.4</v>
      </c>
      <c r="Z162" s="96">
        <f t="shared" si="84"/>
        <v>2943.72</v>
      </c>
      <c r="AA162" s="96">
        <f t="shared" si="84"/>
        <v>3809.52</v>
      </c>
      <c r="AB162" s="96">
        <f t="shared" si="84"/>
        <v>3290.04</v>
      </c>
      <c r="AC162" s="96">
        <f t="shared" si="84"/>
        <v>3116.88</v>
      </c>
      <c r="AD162" s="96">
        <f t="shared" si="84"/>
        <v>3203.46</v>
      </c>
      <c r="AE162" s="96">
        <f t="shared" si="84"/>
        <v>2424.24</v>
      </c>
      <c r="AF162" s="113">
        <f t="shared" si="84"/>
        <v>1818.18</v>
      </c>
      <c r="AG162" s="91">
        <f t="shared" si="80"/>
        <v>108311.58</v>
      </c>
    </row>
    <row r="163">
      <c r="A163" s="24" t="s">
        <v>417</v>
      </c>
      <c r="B163" s="96">
        <f t="shared" ref="B163:AD163" si="85">B125</f>
        <v>136</v>
      </c>
      <c r="C163" s="96">
        <f t="shared" si="85"/>
        <v>183</v>
      </c>
      <c r="D163" s="96">
        <f t="shared" si="85"/>
        <v>193</v>
      </c>
      <c r="E163" s="96">
        <f t="shared" si="85"/>
        <v>204</v>
      </c>
      <c r="F163" s="96">
        <f t="shared" si="85"/>
        <v>112</v>
      </c>
      <c r="G163" s="96">
        <f t="shared" si="85"/>
        <v>250</v>
      </c>
      <c r="H163" s="96">
        <f t="shared" si="85"/>
        <v>306</v>
      </c>
      <c r="I163" s="96">
        <f t="shared" si="85"/>
        <v>156</v>
      </c>
      <c r="J163" s="96">
        <f t="shared" si="85"/>
        <v>271</v>
      </c>
      <c r="K163" s="96">
        <f t="shared" si="85"/>
        <v>103</v>
      </c>
      <c r="L163" s="96">
        <f t="shared" si="85"/>
        <v>131</v>
      </c>
      <c r="M163" s="96">
        <f t="shared" si="85"/>
        <v>73</v>
      </c>
      <c r="N163" s="96">
        <f t="shared" si="85"/>
        <v>34</v>
      </c>
      <c r="O163" s="96">
        <f t="shared" si="85"/>
        <v>118</v>
      </c>
      <c r="P163" s="96">
        <f t="shared" si="85"/>
        <v>83</v>
      </c>
      <c r="Q163" s="96">
        <f t="shared" si="85"/>
        <v>111</v>
      </c>
      <c r="R163" s="96">
        <f t="shared" si="85"/>
        <v>30</v>
      </c>
      <c r="S163" s="96">
        <f t="shared" si="85"/>
        <v>0</v>
      </c>
      <c r="T163" s="96">
        <f t="shared" si="85"/>
        <v>91</v>
      </c>
      <c r="U163" s="96">
        <f t="shared" si="85"/>
        <v>102</v>
      </c>
      <c r="V163" s="96">
        <f t="shared" si="85"/>
        <v>0</v>
      </c>
      <c r="W163" s="96">
        <f t="shared" si="85"/>
        <v>17</v>
      </c>
      <c r="X163" s="96">
        <f t="shared" si="85"/>
        <v>34</v>
      </c>
      <c r="Y163" s="96">
        <f t="shared" si="85"/>
        <v>17</v>
      </c>
      <c r="Z163" s="96">
        <f t="shared" si="85"/>
        <v>43</v>
      </c>
      <c r="AA163" s="96">
        <f t="shared" si="85"/>
        <v>118</v>
      </c>
      <c r="AB163" s="96">
        <f t="shared" si="85"/>
        <v>51</v>
      </c>
      <c r="AC163" s="96">
        <f t="shared" si="85"/>
        <v>13</v>
      </c>
      <c r="AD163" s="96">
        <f t="shared" si="85"/>
        <v>13</v>
      </c>
      <c r="AE163" s="134"/>
      <c r="AF163" s="113">
        <f>AF125</f>
        <v>17</v>
      </c>
      <c r="AG163" s="91">
        <f t="shared" si="80"/>
        <v>3010</v>
      </c>
    </row>
    <row r="164">
      <c r="A164" s="24" t="s">
        <v>418</v>
      </c>
      <c r="B164" s="96">
        <f t="shared" ref="B164:AF164" si="86">B134</f>
        <v>1035</v>
      </c>
      <c r="C164" s="96">
        <f t="shared" si="86"/>
        <v>649</v>
      </c>
      <c r="D164" s="96">
        <f t="shared" si="86"/>
        <v>631</v>
      </c>
      <c r="E164" s="96">
        <f t="shared" si="86"/>
        <v>764</v>
      </c>
      <c r="F164" s="96">
        <f t="shared" si="86"/>
        <v>511</v>
      </c>
      <c r="G164" s="96">
        <f t="shared" si="86"/>
        <v>619</v>
      </c>
      <c r="H164" s="96">
        <f t="shared" si="86"/>
        <v>534</v>
      </c>
      <c r="I164" s="96">
        <f t="shared" si="86"/>
        <v>608</v>
      </c>
      <c r="J164" s="96">
        <f t="shared" si="86"/>
        <v>389</v>
      </c>
      <c r="K164" s="96">
        <f t="shared" si="86"/>
        <v>396</v>
      </c>
      <c r="L164" s="96">
        <f t="shared" si="86"/>
        <v>439</v>
      </c>
      <c r="M164" s="96">
        <f t="shared" si="86"/>
        <v>440</v>
      </c>
      <c r="N164" s="96">
        <f t="shared" si="86"/>
        <v>412</v>
      </c>
      <c r="O164" s="96">
        <f t="shared" si="86"/>
        <v>351</v>
      </c>
      <c r="P164" s="96">
        <f t="shared" si="86"/>
        <v>552</v>
      </c>
      <c r="Q164" s="96">
        <f t="shared" si="86"/>
        <v>420</v>
      </c>
      <c r="R164" s="96">
        <f t="shared" si="86"/>
        <v>363</v>
      </c>
      <c r="S164" s="96">
        <f t="shared" si="86"/>
        <v>495</v>
      </c>
      <c r="T164" s="96">
        <f t="shared" si="86"/>
        <v>192</v>
      </c>
      <c r="U164" s="96">
        <f t="shared" si="86"/>
        <v>508</v>
      </c>
      <c r="V164" s="96">
        <f t="shared" si="86"/>
        <v>609</v>
      </c>
      <c r="W164" s="96">
        <f t="shared" si="86"/>
        <v>651</v>
      </c>
      <c r="X164" s="96">
        <f t="shared" si="86"/>
        <v>382</v>
      </c>
      <c r="Y164" s="96">
        <f t="shared" si="86"/>
        <v>421</v>
      </c>
      <c r="Z164" s="96">
        <f t="shared" si="86"/>
        <v>449</v>
      </c>
      <c r="AA164" s="96">
        <f t="shared" si="86"/>
        <v>541</v>
      </c>
      <c r="AB164" s="96">
        <f t="shared" si="86"/>
        <v>543</v>
      </c>
      <c r="AC164" s="96">
        <f t="shared" si="86"/>
        <v>511</v>
      </c>
      <c r="AD164" s="96">
        <f t="shared" si="86"/>
        <v>547</v>
      </c>
      <c r="AE164" s="96">
        <f t="shared" si="86"/>
        <v>437</v>
      </c>
      <c r="AF164" s="113">
        <f t="shared" si="86"/>
        <v>308</v>
      </c>
      <c r="AG164" s="91">
        <f t="shared" si="80"/>
        <v>15707</v>
      </c>
    </row>
    <row r="165">
      <c r="A165" s="129" t="s">
        <v>419</v>
      </c>
      <c r="B165" s="96">
        <f t="shared" ref="B165:AF165" si="87">8.93*B149</f>
        <v>339.34</v>
      </c>
      <c r="C165" s="96">
        <f t="shared" si="87"/>
        <v>178.6</v>
      </c>
      <c r="D165" s="96">
        <f t="shared" si="87"/>
        <v>241.11</v>
      </c>
      <c r="E165" s="96">
        <f t="shared" si="87"/>
        <v>196.46</v>
      </c>
      <c r="F165" s="96">
        <f t="shared" si="87"/>
        <v>133.95</v>
      </c>
      <c r="G165" s="96">
        <f t="shared" si="87"/>
        <v>187.53</v>
      </c>
      <c r="H165" s="96">
        <f t="shared" si="87"/>
        <v>142.88</v>
      </c>
      <c r="I165" s="96">
        <f t="shared" si="87"/>
        <v>142.88</v>
      </c>
      <c r="J165" s="96">
        <f t="shared" si="87"/>
        <v>116.09</v>
      </c>
      <c r="K165" s="96">
        <f t="shared" si="87"/>
        <v>142.88</v>
      </c>
      <c r="L165" s="96">
        <f t="shared" si="87"/>
        <v>125.02</v>
      </c>
      <c r="M165" s="96">
        <f t="shared" si="87"/>
        <v>133.95</v>
      </c>
      <c r="N165" s="96">
        <f t="shared" si="87"/>
        <v>107.16</v>
      </c>
      <c r="O165" s="96">
        <f t="shared" si="87"/>
        <v>98.23</v>
      </c>
      <c r="P165" s="96">
        <f t="shared" si="87"/>
        <v>232.18</v>
      </c>
      <c r="Q165" s="96">
        <f t="shared" si="87"/>
        <v>178.6</v>
      </c>
      <c r="R165" s="96">
        <f t="shared" si="87"/>
        <v>98.23</v>
      </c>
      <c r="S165" s="96">
        <f t="shared" si="87"/>
        <v>125.02</v>
      </c>
      <c r="T165" s="96">
        <f t="shared" si="87"/>
        <v>53.58</v>
      </c>
      <c r="U165" s="96">
        <f t="shared" si="87"/>
        <v>107.16</v>
      </c>
      <c r="V165" s="96">
        <f t="shared" si="87"/>
        <v>196.46</v>
      </c>
      <c r="W165" s="96">
        <f t="shared" si="87"/>
        <v>205.39</v>
      </c>
      <c r="X165" s="96">
        <f t="shared" si="87"/>
        <v>142.88</v>
      </c>
      <c r="Y165" s="96">
        <f t="shared" si="87"/>
        <v>98.23</v>
      </c>
      <c r="Z165" s="96">
        <f t="shared" si="87"/>
        <v>116.09</v>
      </c>
      <c r="AA165" s="96">
        <f t="shared" si="87"/>
        <v>98.23</v>
      </c>
      <c r="AB165" s="96">
        <f t="shared" si="87"/>
        <v>196.46</v>
      </c>
      <c r="AC165" s="96">
        <f t="shared" si="87"/>
        <v>98.23</v>
      </c>
      <c r="AD165" s="96">
        <f t="shared" si="87"/>
        <v>116.09</v>
      </c>
      <c r="AE165" s="96">
        <f t="shared" si="87"/>
        <v>89.3</v>
      </c>
      <c r="AF165" s="113">
        <f t="shared" si="87"/>
        <v>71.44</v>
      </c>
      <c r="AG165" s="91">
        <f t="shared" si="80"/>
        <v>4509.65</v>
      </c>
    </row>
    <row r="166">
      <c r="A166" s="129" t="s">
        <v>420</v>
      </c>
      <c r="B166" s="96">
        <f t="shared" ref="B166:AF166" si="88">7*B151</f>
        <v>77</v>
      </c>
      <c r="C166" s="96">
        <f t="shared" si="88"/>
        <v>28</v>
      </c>
      <c r="D166" s="96">
        <f t="shared" si="88"/>
        <v>21</v>
      </c>
      <c r="E166" s="96">
        <f t="shared" si="88"/>
        <v>21</v>
      </c>
      <c r="F166" s="96">
        <f t="shared" si="88"/>
        <v>14</v>
      </c>
      <c r="G166" s="96">
        <f t="shared" si="88"/>
        <v>63</v>
      </c>
      <c r="H166" s="96">
        <f t="shared" si="88"/>
        <v>35</v>
      </c>
      <c r="I166" s="96">
        <f t="shared" si="88"/>
        <v>35</v>
      </c>
      <c r="J166" s="96">
        <f t="shared" si="88"/>
        <v>7</v>
      </c>
      <c r="K166" s="96">
        <f t="shared" si="88"/>
        <v>14</v>
      </c>
      <c r="L166" s="96">
        <f t="shared" si="88"/>
        <v>21</v>
      </c>
      <c r="M166" s="96">
        <f t="shared" si="88"/>
        <v>0</v>
      </c>
      <c r="N166" s="96">
        <f t="shared" si="88"/>
        <v>7</v>
      </c>
      <c r="O166" s="96">
        <f t="shared" si="88"/>
        <v>0</v>
      </c>
      <c r="P166" s="96">
        <f t="shared" si="88"/>
        <v>14</v>
      </c>
      <c r="Q166" s="96">
        <f t="shared" si="88"/>
        <v>35</v>
      </c>
      <c r="R166" s="96">
        <f t="shared" si="88"/>
        <v>28</v>
      </c>
      <c r="S166" s="96">
        <f t="shared" si="88"/>
        <v>21</v>
      </c>
      <c r="T166" s="96">
        <f t="shared" si="88"/>
        <v>7</v>
      </c>
      <c r="U166" s="96">
        <f t="shared" si="88"/>
        <v>14</v>
      </c>
      <c r="V166" s="96">
        <f t="shared" si="88"/>
        <v>35</v>
      </c>
      <c r="W166" s="96">
        <f t="shared" si="88"/>
        <v>49</v>
      </c>
      <c r="X166" s="96">
        <f t="shared" si="88"/>
        <v>7</v>
      </c>
      <c r="Y166" s="96">
        <f t="shared" si="88"/>
        <v>14</v>
      </c>
      <c r="Z166" s="96">
        <f t="shared" si="88"/>
        <v>21</v>
      </c>
      <c r="AA166" s="96">
        <f t="shared" si="88"/>
        <v>21</v>
      </c>
      <c r="AB166" s="96">
        <f t="shared" si="88"/>
        <v>0</v>
      </c>
      <c r="AC166" s="96">
        <f t="shared" si="88"/>
        <v>35</v>
      </c>
      <c r="AD166" s="96">
        <f t="shared" si="88"/>
        <v>28</v>
      </c>
      <c r="AE166" s="96">
        <f t="shared" si="88"/>
        <v>14</v>
      </c>
      <c r="AF166" s="113">
        <f t="shared" si="88"/>
        <v>21</v>
      </c>
      <c r="AG166" s="91">
        <f t="shared" si="80"/>
        <v>707</v>
      </c>
    </row>
    <row r="167">
      <c r="A167" s="129" t="s">
        <v>421</v>
      </c>
      <c r="B167" s="96">
        <f t="shared" ref="B167:AF167" si="89">3.29*B150</f>
        <v>69.09</v>
      </c>
      <c r="C167" s="96">
        <f t="shared" si="89"/>
        <v>46.06</v>
      </c>
      <c r="D167" s="96">
        <f t="shared" si="89"/>
        <v>49.35</v>
      </c>
      <c r="E167" s="96">
        <f t="shared" si="89"/>
        <v>36.19</v>
      </c>
      <c r="F167" s="96">
        <f t="shared" si="89"/>
        <v>32.9</v>
      </c>
      <c r="G167" s="96">
        <f t="shared" si="89"/>
        <v>42.77</v>
      </c>
      <c r="H167" s="96">
        <f t="shared" si="89"/>
        <v>36.19</v>
      </c>
      <c r="I167" s="96">
        <f t="shared" si="89"/>
        <v>23.03</v>
      </c>
      <c r="J167" s="96">
        <f t="shared" si="89"/>
        <v>29.61</v>
      </c>
      <c r="K167" s="96">
        <f t="shared" si="89"/>
        <v>36.19</v>
      </c>
      <c r="L167" s="96">
        <f t="shared" si="89"/>
        <v>42.77</v>
      </c>
      <c r="M167" s="96">
        <f t="shared" si="89"/>
        <v>29.61</v>
      </c>
      <c r="N167" s="96">
        <f t="shared" si="89"/>
        <v>19.74</v>
      </c>
      <c r="O167" s="96">
        <f t="shared" si="89"/>
        <v>13.16</v>
      </c>
      <c r="P167" s="96">
        <f t="shared" si="89"/>
        <v>23.03</v>
      </c>
      <c r="Q167" s="96">
        <f t="shared" si="89"/>
        <v>46.06</v>
      </c>
      <c r="R167" s="96">
        <f t="shared" si="89"/>
        <v>23.03</v>
      </c>
      <c r="S167" s="96">
        <f t="shared" si="89"/>
        <v>19.74</v>
      </c>
      <c r="T167" s="96">
        <f t="shared" si="89"/>
        <v>6.58</v>
      </c>
      <c r="U167" s="96">
        <f t="shared" si="89"/>
        <v>29.61</v>
      </c>
      <c r="V167" s="96">
        <f t="shared" si="89"/>
        <v>26.32</v>
      </c>
      <c r="W167" s="96">
        <f t="shared" si="89"/>
        <v>42.77</v>
      </c>
      <c r="X167" s="96">
        <f t="shared" si="89"/>
        <v>32.9</v>
      </c>
      <c r="Y167" s="96">
        <f t="shared" si="89"/>
        <v>42.77</v>
      </c>
      <c r="Z167" s="96">
        <f t="shared" si="89"/>
        <v>16.45</v>
      </c>
      <c r="AA167" s="96">
        <f t="shared" si="89"/>
        <v>23.03</v>
      </c>
      <c r="AB167" s="96">
        <f t="shared" si="89"/>
        <v>26.32</v>
      </c>
      <c r="AC167" s="96">
        <f t="shared" si="89"/>
        <v>19.74</v>
      </c>
      <c r="AD167" s="96">
        <f t="shared" si="89"/>
        <v>32.9</v>
      </c>
      <c r="AE167" s="96">
        <f t="shared" si="89"/>
        <v>13.16</v>
      </c>
      <c r="AF167" s="113">
        <f t="shared" si="89"/>
        <v>16.45</v>
      </c>
      <c r="AG167" s="91">
        <f t="shared" si="80"/>
        <v>947.52</v>
      </c>
    </row>
    <row r="168">
      <c r="A168" s="129" t="s">
        <v>422</v>
      </c>
      <c r="B168" s="96">
        <f t="shared" ref="B168:AF168" si="90">B152*0.45</f>
        <v>5.4</v>
      </c>
      <c r="C168" s="96">
        <f t="shared" si="90"/>
        <v>3.6</v>
      </c>
      <c r="D168" s="96">
        <f t="shared" si="90"/>
        <v>3.15</v>
      </c>
      <c r="E168" s="96">
        <f t="shared" si="90"/>
        <v>3.15</v>
      </c>
      <c r="F168" s="96">
        <f t="shared" si="90"/>
        <v>0.45</v>
      </c>
      <c r="G168" s="96">
        <f t="shared" si="90"/>
        <v>4.05</v>
      </c>
      <c r="H168" s="96">
        <f t="shared" si="90"/>
        <v>3.15</v>
      </c>
      <c r="I168" s="96">
        <f t="shared" si="90"/>
        <v>1.8</v>
      </c>
      <c r="J168" s="96">
        <f t="shared" si="90"/>
        <v>3.15</v>
      </c>
      <c r="K168" s="96">
        <f t="shared" si="90"/>
        <v>2.7</v>
      </c>
      <c r="L168" s="96">
        <f t="shared" si="90"/>
        <v>3.15</v>
      </c>
      <c r="M168" s="96">
        <f t="shared" si="90"/>
        <v>0.9</v>
      </c>
      <c r="N168" s="96">
        <f t="shared" si="90"/>
        <v>1.8</v>
      </c>
      <c r="O168" s="96">
        <f t="shared" si="90"/>
        <v>2.25</v>
      </c>
      <c r="P168" s="96">
        <f t="shared" si="90"/>
        <v>2.25</v>
      </c>
      <c r="Q168" s="96">
        <f t="shared" si="90"/>
        <v>4.5</v>
      </c>
      <c r="R168" s="96">
        <f t="shared" si="90"/>
        <v>0.45</v>
      </c>
      <c r="S168" s="96">
        <f t="shared" si="90"/>
        <v>2.25</v>
      </c>
      <c r="T168" s="96">
        <f t="shared" si="90"/>
        <v>0.9</v>
      </c>
      <c r="U168" s="96">
        <f t="shared" si="90"/>
        <v>2.25</v>
      </c>
      <c r="V168" s="96">
        <f t="shared" si="90"/>
        <v>1.8</v>
      </c>
      <c r="W168" s="96">
        <f t="shared" si="90"/>
        <v>3.15</v>
      </c>
      <c r="X168" s="96">
        <f t="shared" si="90"/>
        <v>1.8</v>
      </c>
      <c r="Y168" s="96">
        <f t="shared" si="90"/>
        <v>1.35</v>
      </c>
      <c r="Z168" s="96">
        <f t="shared" si="90"/>
        <v>1.8</v>
      </c>
      <c r="AA168" s="96">
        <f t="shared" si="90"/>
        <v>3.6</v>
      </c>
      <c r="AB168" s="96">
        <f t="shared" si="90"/>
        <v>3.15</v>
      </c>
      <c r="AC168" s="96">
        <f t="shared" si="90"/>
        <v>3.6</v>
      </c>
      <c r="AD168" s="96">
        <f t="shared" si="90"/>
        <v>0.45</v>
      </c>
      <c r="AE168" s="96">
        <f t="shared" si="90"/>
        <v>2.7</v>
      </c>
      <c r="AF168" s="113">
        <f t="shared" si="90"/>
        <v>0.45</v>
      </c>
      <c r="AG168" s="91">
        <f t="shared" si="80"/>
        <v>75.15</v>
      </c>
    </row>
    <row r="169">
      <c r="A169" s="24" t="s">
        <v>423</v>
      </c>
      <c r="B169" s="189">
        <v>0.0</v>
      </c>
      <c r="C169" s="96">
        <v>769.0</v>
      </c>
      <c r="D169" s="189">
        <v>0.0</v>
      </c>
      <c r="E169" s="96">
        <v>1182.0</v>
      </c>
      <c r="F169" s="96">
        <v>632.0</v>
      </c>
      <c r="G169" s="96">
        <v>422.0</v>
      </c>
      <c r="H169" s="189">
        <v>0.0</v>
      </c>
      <c r="I169" s="189">
        <v>0.0</v>
      </c>
      <c r="J169" s="96">
        <v>189.0</v>
      </c>
      <c r="K169" s="96">
        <v>585.0</v>
      </c>
      <c r="L169" s="96">
        <v>467.0</v>
      </c>
      <c r="M169" s="96">
        <v>189.0</v>
      </c>
      <c r="N169" s="96">
        <v>189.0</v>
      </c>
      <c r="O169" s="189">
        <v>0.0</v>
      </c>
      <c r="P169" s="189">
        <v>0.0</v>
      </c>
      <c r="Q169" s="96">
        <v>378.0</v>
      </c>
      <c r="R169" s="96">
        <v>626.0</v>
      </c>
      <c r="S169" s="189">
        <v>0.0</v>
      </c>
      <c r="T169" s="189">
        <v>192.0</v>
      </c>
      <c r="U169" s="189">
        <v>0.0</v>
      </c>
      <c r="V169" s="189">
        <v>0.0</v>
      </c>
      <c r="W169" s="189">
        <v>0.0</v>
      </c>
      <c r="X169" s="189">
        <v>822.0</v>
      </c>
      <c r="Y169" s="96">
        <v>485.0</v>
      </c>
      <c r="Z169" s="96">
        <v>207.0</v>
      </c>
      <c r="AA169" s="96">
        <v>266.0</v>
      </c>
      <c r="AB169" s="189">
        <v>0.0</v>
      </c>
      <c r="AC169" s="189">
        <v>0.0</v>
      </c>
      <c r="AD169" s="189">
        <v>0.0</v>
      </c>
      <c r="AE169" s="96">
        <v>1012.0</v>
      </c>
      <c r="AF169" s="113">
        <v>266.0</v>
      </c>
      <c r="AG169" s="91">
        <f t="shared" si="80"/>
        <v>8878</v>
      </c>
    </row>
    <row r="170">
      <c r="A170" s="129" t="s">
        <v>424</v>
      </c>
      <c r="B170" s="134">
        <f t="shared" ref="B170:AF170" si="91">B138*0.05</f>
        <v>956.5</v>
      </c>
      <c r="C170" s="134">
        <f t="shared" si="91"/>
        <v>673.55</v>
      </c>
      <c r="D170" s="134">
        <f t="shared" si="91"/>
        <v>662.95</v>
      </c>
      <c r="E170" s="134">
        <f t="shared" si="91"/>
        <v>752.05</v>
      </c>
      <c r="F170" s="134">
        <f t="shared" si="91"/>
        <v>496.3</v>
      </c>
      <c r="G170" s="134">
        <f t="shared" si="91"/>
        <v>705.3</v>
      </c>
      <c r="H170" s="134">
        <f t="shared" si="91"/>
        <v>607.15</v>
      </c>
      <c r="I170" s="134">
        <f t="shared" si="91"/>
        <v>590.75</v>
      </c>
      <c r="J170" s="134">
        <f t="shared" si="91"/>
        <v>493.3</v>
      </c>
      <c r="K170" s="134">
        <f t="shared" si="91"/>
        <v>444.95</v>
      </c>
      <c r="L170" s="134">
        <f t="shared" si="91"/>
        <v>464.05</v>
      </c>
      <c r="M170" s="134">
        <f t="shared" si="91"/>
        <v>414.8</v>
      </c>
      <c r="N170" s="134">
        <f t="shared" si="91"/>
        <v>359.95</v>
      </c>
      <c r="O170" s="134">
        <f t="shared" si="91"/>
        <v>352.85</v>
      </c>
      <c r="P170" s="134">
        <f t="shared" si="91"/>
        <v>517.3</v>
      </c>
      <c r="Q170" s="134">
        <f t="shared" si="91"/>
        <v>450.9</v>
      </c>
      <c r="R170" s="134">
        <f t="shared" si="91"/>
        <v>334.3</v>
      </c>
      <c r="S170" s="134">
        <f t="shared" si="91"/>
        <v>385.15</v>
      </c>
      <c r="T170" s="134">
        <f t="shared" si="91"/>
        <v>223.6</v>
      </c>
      <c r="U170" s="134">
        <f t="shared" si="91"/>
        <v>453.9</v>
      </c>
      <c r="V170" s="134">
        <f t="shared" si="91"/>
        <v>482.7</v>
      </c>
      <c r="W170" s="134">
        <f t="shared" si="91"/>
        <v>549.65</v>
      </c>
      <c r="X170" s="134">
        <f t="shared" si="91"/>
        <v>384.15</v>
      </c>
      <c r="Y170" s="134">
        <f t="shared" si="91"/>
        <v>369.75</v>
      </c>
      <c r="Z170" s="134">
        <f t="shared" si="91"/>
        <v>398.1</v>
      </c>
      <c r="AA170" s="134">
        <f t="shared" si="91"/>
        <v>499.8</v>
      </c>
      <c r="AB170" s="134">
        <f t="shared" si="91"/>
        <v>464.7</v>
      </c>
      <c r="AC170" s="134">
        <f t="shared" si="91"/>
        <v>402.45</v>
      </c>
      <c r="AD170" s="134">
        <f t="shared" si="91"/>
        <v>424.25</v>
      </c>
      <c r="AE170" s="134">
        <f t="shared" si="91"/>
        <v>372.85</v>
      </c>
      <c r="AF170" s="135">
        <f t="shared" si="91"/>
        <v>255.3</v>
      </c>
      <c r="AG170" s="91">
        <f t="shared" si="80"/>
        <v>14943.3</v>
      </c>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7"/>
      <c r="AG171" s="24"/>
    </row>
    <row r="172">
      <c r="A172" s="263" t="s">
        <v>26</v>
      </c>
      <c r="B172" s="264">
        <f t="shared" ref="B172:AF172" si="92">SUM(B157:B170)</f>
        <v>18238.621</v>
      </c>
      <c r="C172" s="264">
        <f t="shared" si="92"/>
        <v>13983.0725</v>
      </c>
      <c r="D172" s="264">
        <f t="shared" si="92"/>
        <v>13284.5525</v>
      </c>
      <c r="E172" s="264">
        <f t="shared" si="92"/>
        <v>14843.6105</v>
      </c>
      <c r="F172" s="264">
        <f t="shared" si="92"/>
        <v>12466.5155</v>
      </c>
      <c r="G172" s="264">
        <f t="shared" si="92"/>
        <v>13881.3585</v>
      </c>
      <c r="H172" s="264">
        <f t="shared" si="92"/>
        <v>10775.5315</v>
      </c>
      <c r="I172" s="264">
        <f t="shared" si="92"/>
        <v>9932.044</v>
      </c>
      <c r="J172" s="264">
        <f t="shared" si="92"/>
        <v>9438.469</v>
      </c>
      <c r="K172" s="264">
        <f t="shared" si="92"/>
        <v>9710.8765</v>
      </c>
      <c r="L172" s="264">
        <f t="shared" si="92"/>
        <v>8727.871</v>
      </c>
      <c r="M172" s="264">
        <f t="shared" si="92"/>
        <v>7537.6895</v>
      </c>
      <c r="N172" s="264">
        <f t="shared" si="92"/>
        <v>7117.9275</v>
      </c>
      <c r="O172" s="264">
        <f t="shared" si="92"/>
        <v>6728.7075</v>
      </c>
      <c r="P172" s="264">
        <f t="shared" si="92"/>
        <v>8153.2025</v>
      </c>
      <c r="Q172" s="264">
        <f t="shared" si="92"/>
        <v>7681.5805</v>
      </c>
      <c r="R172" s="264">
        <f t="shared" si="92"/>
        <v>6552.9665</v>
      </c>
      <c r="S172" s="264">
        <f t="shared" si="92"/>
        <v>7034.018</v>
      </c>
      <c r="T172" s="264">
        <f t="shared" si="92"/>
        <v>5688.5235</v>
      </c>
      <c r="U172" s="264">
        <f t="shared" si="92"/>
        <v>7908.619</v>
      </c>
      <c r="V172" s="264">
        <f t="shared" si="92"/>
        <v>8161.522</v>
      </c>
      <c r="W172" s="264">
        <f t="shared" si="92"/>
        <v>8979.653</v>
      </c>
      <c r="X172" s="264">
        <f t="shared" si="92"/>
        <v>7671.7105</v>
      </c>
      <c r="Y172" s="264">
        <f t="shared" si="92"/>
        <v>7902.022</v>
      </c>
      <c r="Z172" s="264">
        <f t="shared" si="92"/>
        <v>8319.3625</v>
      </c>
      <c r="AA172" s="264">
        <f t="shared" si="92"/>
        <v>8984.816</v>
      </c>
      <c r="AB172" s="264">
        <f t="shared" si="92"/>
        <v>7918.814</v>
      </c>
      <c r="AC172" s="264">
        <f t="shared" si="92"/>
        <v>7209.624</v>
      </c>
      <c r="AD172" s="264">
        <f t="shared" si="92"/>
        <v>7241.19</v>
      </c>
      <c r="AE172" s="264">
        <f t="shared" si="92"/>
        <v>5662.612</v>
      </c>
      <c r="AF172" s="265">
        <f t="shared" si="92"/>
        <v>2992.076</v>
      </c>
      <c r="AG172" s="91">
        <f>SUM(B172:AF172)</f>
        <v>280729.159</v>
      </c>
    </row>
    <row r="173">
      <c r="A173" s="2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c r="AA173" s="134"/>
      <c r="AB173" s="134"/>
      <c r="AC173" s="134"/>
      <c r="AD173" s="134"/>
      <c r="AE173" s="134"/>
      <c r="AF173" s="135"/>
      <c r="AG173" s="134"/>
    </row>
    <row r="174">
      <c r="A174" s="60" t="s">
        <v>350</v>
      </c>
      <c r="B174" s="138">
        <f t="shared" ref="B174:AF174" si="93">B138-B172</f>
        <v>891.379</v>
      </c>
      <c r="C174" s="138">
        <f t="shared" si="93"/>
        <v>-512.0725</v>
      </c>
      <c r="D174" s="138">
        <f t="shared" si="93"/>
        <v>-25.5525</v>
      </c>
      <c r="E174" s="138">
        <f t="shared" si="93"/>
        <v>197.3895</v>
      </c>
      <c r="F174" s="136">
        <f t="shared" si="93"/>
        <v>-2540.5155</v>
      </c>
      <c r="G174" s="138">
        <f t="shared" si="93"/>
        <v>224.6415</v>
      </c>
      <c r="H174" s="138">
        <f t="shared" si="93"/>
        <v>1367.4685</v>
      </c>
      <c r="I174" s="138">
        <f t="shared" si="93"/>
        <v>1882.956</v>
      </c>
      <c r="J174" s="138">
        <f t="shared" si="93"/>
        <v>427.531</v>
      </c>
      <c r="K174" s="136">
        <f t="shared" si="93"/>
        <v>-811.8765</v>
      </c>
      <c r="L174" s="138">
        <f t="shared" si="93"/>
        <v>553.129</v>
      </c>
      <c r="M174" s="138">
        <f t="shared" si="93"/>
        <v>758.3105</v>
      </c>
      <c r="N174" s="138">
        <f t="shared" si="93"/>
        <v>81.0725</v>
      </c>
      <c r="O174" s="138">
        <f t="shared" si="93"/>
        <v>328.2925</v>
      </c>
      <c r="P174" s="138">
        <f t="shared" si="93"/>
        <v>2192.7975</v>
      </c>
      <c r="Q174" s="138">
        <f t="shared" si="93"/>
        <v>1336.4195</v>
      </c>
      <c r="R174" s="138">
        <f t="shared" si="93"/>
        <v>133.0335</v>
      </c>
      <c r="S174" s="138">
        <f t="shared" si="93"/>
        <v>668.982</v>
      </c>
      <c r="T174" s="136">
        <f t="shared" si="93"/>
        <v>-1216.5235</v>
      </c>
      <c r="U174" s="138">
        <f t="shared" si="93"/>
        <v>1169.381</v>
      </c>
      <c r="V174" s="138">
        <f t="shared" si="93"/>
        <v>1492.478</v>
      </c>
      <c r="W174" s="138">
        <f t="shared" si="93"/>
        <v>2013.347</v>
      </c>
      <c r="X174" s="138">
        <f t="shared" si="93"/>
        <v>11.2895</v>
      </c>
      <c r="Y174" s="136">
        <f t="shared" si="93"/>
        <v>-507.022</v>
      </c>
      <c r="Z174" s="138">
        <f t="shared" si="93"/>
        <v>-357.3625</v>
      </c>
      <c r="AA174" s="138">
        <f t="shared" si="93"/>
        <v>1011.184</v>
      </c>
      <c r="AB174" s="138">
        <f t="shared" si="93"/>
        <v>1375.186</v>
      </c>
      <c r="AC174" s="138">
        <f t="shared" si="93"/>
        <v>839.376</v>
      </c>
      <c r="AD174" s="138">
        <f t="shared" si="93"/>
        <v>1243.81</v>
      </c>
      <c r="AE174" s="138">
        <f t="shared" si="93"/>
        <v>1794.388</v>
      </c>
      <c r="AF174" s="140">
        <f t="shared" si="93"/>
        <v>2113.924</v>
      </c>
      <c r="AG174" s="134"/>
    </row>
    <row r="175">
      <c r="A175" s="138">
        <f>SUM(B174:AF174)</f>
        <v>18136.841</v>
      </c>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c r="AA175" s="134"/>
      <c r="AB175" s="134"/>
      <c r="AC175" s="134"/>
      <c r="AD175" s="134"/>
      <c r="AE175" s="134"/>
      <c r="AF175" s="135"/>
      <c r="AG175" s="134"/>
    </row>
    <row r="176">
      <c r="A176" s="2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c r="AA176" s="134"/>
      <c r="AB176" s="134"/>
      <c r="AC176" s="134"/>
      <c r="AD176" s="134"/>
      <c r="AE176" s="134"/>
      <c r="AF176" s="135"/>
      <c r="AG176" s="134"/>
    </row>
    <row r="177">
      <c r="A177" s="266" t="s">
        <v>425</v>
      </c>
      <c r="B177" s="267">
        <f t="shared" ref="B177:AF177" si="94">B138/B172</f>
        <v>1.048873158</v>
      </c>
      <c r="C177" s="268">
        <f t="shared" si="94"/>
        <v>0.9633791143</v>
      </c>
      <c r="D177" s="269">
        <f t="shared" si="94"/>
        <v>0.9980765253</v>
      </c>
      <c r="E177" s="270">
        <f t="shared" si="94"/>
        <v>1.013297944</v>
      </c>
      <c r="F177" s="271">
        <f t="shared" si="94"/>
        <v>0.7962128632</v>
      </c>
      <c r="G177" s="270">
        <f t="shared" si="94"/>
        <v>1.016182962</v>
      </c>
      <c r="H177" s="272">
        <f t="shared" si="94"/>
        <v>1.12690497</v>
      </c>
      <c r="I177" s="273">
        <f t="shared" si="94"/>
        <v>1.189583937</v>
      </c>
      <c r="J177" s="274">
        <f t="shared" si="94"/>
        <v>1.045296647</v>
      </c>
      <c r="K177" s="275">
        <f t="shared" si="94"/>
        <v>0.9163951369</v>
      </c>
      <c r="L177" s="276">
        <f t="shared" si="94"/>
        <v>1.06337502</v>
      </c>
      <c r="M177" s="277">
        <f t="shared" si="94"/>
        <v>1.100602512</v>
      </c>
      <c r="N177" s="278">
        <f t="shared" si="94"/>
        <v>1.011389902</v>
      </c>
      <c r="O177" s="274">
        <f t="shared" si="94"/>
        <v>1.048789831</v>
      </c>
      <c r="P177" s="279">
        <f t="shared" si="94"/>
        <v>1.268949226</v>
      </c>
      <c r="Q177" s="280">
        <f t="shared" si="94"/>
        <v>1.173977152</v>
      </c>
      <c r="R177" s="281">
        <f t="shared" si="94"/>
        <v>1.020301264</v>
      </c>
      <c r="S177" s="282">
        <f t="shared" si="94"/>
        <v>1.095106666</v>
      </c>
      <c r="T177" s="283">
        <f t="shared" si="94"/>
        <v>0.7861442429</v>
      </c>
      <c r="U177" s="284">
        <f t="shared" si="94"/>
        <v>1.147861593</v>
      </c>
      <c r="V177" s="285">
        <f t="shared" si="94"/>
        <v>1.182867607</v>
      </c>
      <c r="W177" s="286">
        <f t="shared" si="94"/>
        <v>1.224212116</v>
      </c>
      <c r="X177" s="287">
        <f t="shared" si="94"/>
        <v>1.001471575</v>
      </c>
      <c r="Y177" s="288">
        <f t="shared" si="94"/>
        <v>0.9358364226</v>
      </c>
      <c r="Z177" s="289">
        <f t="shared" si="94"/>
        <v>0.9570444851</v>
      </c>
      <c r="AA177" s="290">
        <f t="shared" si="94"/>
        <v>1.112543651</v>
      </c>
      <c r="AB177" s="291">
        <f t="shared" si="94"/>
        <v>1.173660601</v>
      </c>
      <c r="AC177" s="292">
        <f t="shared" si="94"/>
        <v>1.116424379</v>
      </c>
      <c r="AD177" s="280">
        <f t="shared" si="94"/>
        <v>1.171768729</v>
      </c>
      <c r="AE177" s="293">
        <f t="shared" si="94"/>
        <v>1.316883445</v>
      </c>
      <c r="AF177" s="294">
        <f t="shared" si="94"/>
        <v>1.706507455</v>
      </c>
      <c r="AG177" s="134"/>
    </row>
    <row r="178">
      <c r="A178" s="134"/>
      <c r="B178" s="167"/>
      <c r="C178" s="167"/>
      <c r="D178" s="167"/>
      <c r="E178" s="167"/>
      <c r="F178" s="167"/>
      <c r="G178" s="167"/>
      <c r="H178" s="167"/>
      <c r="I178" s="167"/>
      <c r="J178" s="167"/>
      <c r="K178" s="167"/>
      <c r="L178" s="167"/>
      <c r="M178" s="167"/>
      <c r="N178" s="167"/>
      <c r="O178" s="24"/>
      <c r="P178" s="24"/>
      <c r="Q178" s="24"/>
      <c r="R178" s="24"/>
      <c r="S178" s="24"/>
      <c r="T178" s="24"/>
      <c r="U178" s="24"/>
      <c r="V178" s="24"/>
      <c r="W178" s="24"/>
      <c r="X178" s="167"/>
      <c r="Y178" s="167"/>
      <c r="Z178" s="167"/>
      <c r="AA178" s="167"/>
      <c r="AB178" s="167"/>
      <c r="AC178" s="167"/>
      <c r="AD178" s="167"/>
      <c r="AE178" s="167"/>
      <c r="AF178" s="168"/>
      <c r="AG178" s="134"/>
    </row>
    <row r="179">
      <c r="A179" s="266" t="s">
        <v>426</v>
      </c>
      <c r="B179" s="295">
        <v>2.56</v>
      </c>
      <c r="C179" s="296">
        <v>2.24</v>
      </c>
      <c r="D179" s="297">
        <v>2.12</v>
      </c>
      <c r="E179" s="298">
        <v>2.4</v>
      </c>
      <c r="F179" s="299">
        <v>1.29</v>
      </c>
      <c r="G179" s="298">
        <v>2.42</v>
      </c>
      <c r="H179" s="300">
        <v>3.1</v>
      </c>
      <c r="I179" s="301">
        <v>3.81</v>
      </c>
      <c r="J179" s="295">
        <v>2.57</v>
      </c>
      <c r="K179" s="296">
        <v>2.23</v>
      </c>
      <c r="L179" s="295">
        <v>2.64</v>
      </c>
      <c r="M179" s="302">
        <v>3.16</v>
      </c>
      <c r="N179" s="296">
        <v>2.37</v>
      </c>
      <c r="O179" s="298">
        <v>2.43</v>
      </c>
      <c r="P179" s="301">
        <v>3.87</v>
      </c>
      <c r="Q179" s="302">
        <v>3.44</v>
      </c>
      <c r="R179" s="295">
        <v>2.56</v>
      </c>
      <c r="S179" s="295">
        <v>2.51</v>
      </c>
      <c r="T179" s="299">
        <v>1.4</v>
      </c>
      <c r="U179" s="303">
        <v>3.01</v>
      </c>
      <c r="V179" s="304">
        <v>3.3</v>
      </c>
      <c r="W179" s="305">
        <v>3.65</v>
      </c>
      <c r="X179" s="306">
        <v>2.55</v>
      </c>
      <c r="Y179" s="297">
        <v>2.06</v>
      </c>
      <c r="Z179" s="297">
        <v>2.06</v>
      </c>
      <c r="AA179" s="300">
        <v>2.94</v>
      </c>
      <c r="AB179" s="300">
        <v>2.98</v>
      </c>
      <c r="AC179" s="307">
        <v>2.84</v>
      </c>
      <c r="AD179" s="302">
        <v>3.41</v>
      </c>
      <c r="AE179" s="308">
        <v>6.82</v>
      </c>
      <c r="AF179" s="309">
        <v>72.7</v>
      </c>
      <c r="AG179" s="134"/>
    </row>
    <row r="180">
      <c r="A180" s="24"/>
      <c r="B180" s="13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7"/>
      <c r="AG180" s="24"/>
    </row>
    <row r="181">
      <c r="A181" s="266" t="s">
        <v>355</v>
      </c>
      <c r="B181" s="310"/>
      <c r="C181" s="310"/>
      <c r="D181" s="310"/>
      <c r="E181" s="310"/>
      <c r="F181" s="310"/>
      <c r="G181" s="310"/>
      <c r="H181" s="310"/>
      <c r="I181" s="310"/>
      <c r="J181" s="310"/>
      <c r="K181" s="310"/>
      <c r="L181" s="310"/>
      <c r="M181" s="310"/>
      <c r="N181" s="310"/>
      <c r="O181" s="310"/>
      <c r="P181" s="310"/>
      <c r="Q181" s="310"/>
      <c r="R181" s="310"/>
      <c r="S181" s="310"/>
      <c r="T181" s="310"/>
      <c r="U181" s="310"/>
      <c r="V181" s="310"/>
      <c r="W181" s="310"/>
      <c r="X181" s="310"/>
      <c r="Y181" s="310"/>
      <c r="Z181" s="310"/>
      <c r="AA181" s="24"/>
      <c r="AB181" s="310"/>
      <c r="AC181" s="310"/>
      <c r="AD181" s="310"/>
      <c r="AE181" s="310"/>
      <c r="AF181" s="311"/>
      <c r="AG181" s="310"/>
    </row>
    <row r="182">
      <c r="A182" s="96">
        <f>SUM(B138:AF138)</f>
        <v>298866</v>
      </c>
      <c r="B182" s="310"/>
      <c r="C182" s="310"/>
      <c r="D182" s="310"/>
      <c r="E182" s="310"/>
      <c r="F182" s="310"/>
      <c r="G182" s="310"/>
      <c r="H182" s="310"/>
      <c r="I182" s="310"/>
      <c r="J182" s="310"/>
      <c r="K182" s="310"/>
      <c r="L182" s="310"/>
      <c r="M182" s="310"/>
      <c r="N182" s="310"/>
      <c r="O182" s="310"/>
      <c r="P182" s="310"/>
      <c r="Q182" s="310"/>
      <c r="R182" s="310"/>
      <c r="S182" s="310"/>
      <c r="T182" s="310"/>
      <c r="U182" s="310"/>
      <c r="V182" s="310"/>
      <c r="W182" s="310"/>
      <c r="X182" s="310"/>
      <c r="Y182" s="310"/>
      <c r="Z182" s="310"/>
      <c r="AA182" s="310"/>
      <c r="AB182" s="310"/>
      <c r="AC182" s="310"/>
      <c r="AD182" s="310"/>
      <c r="AE182" s="310"/>
      <c r="AF182" s="311"/>
      <c r="AG182" s="310"/>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7"/>
      <c r="AG183" s="24"/>
    </row>
    <row r="184">
      <c r="A184" s="266" t="s">
        <v>256</v>
      </c>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7"/>
      <c r="AG184" s="24"/>
    </row>
    <row r="185">
      <c r="A185" s="96">
        <f>SUM(B172:AF172)</f>
        <v>280729.159</v>
      </c>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7"/>
      <c r="AG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7"/>
      <c r="AG186" s="24"/>
    </row>
    <row r="187">
      <c r="A187" s="266" t="s">
        <v>377</v>
      </c>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7"/>
      <c r="AG187" s="24"/>
    </row>
    <row r="188">
      <c r="A188" s="312">
        <f>A182/A185</f>
        <v>1.064606189</v>
      </c>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7"/>
      <c r="AG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7"/>
      <c r="AG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7"/>
      <c r="AG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7"/>
      <c r="AG191" s="24"/>
    </row>
    <row r="192">
      <c r="A192" s="24" t="s">
        <v>427</v>
      </c>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c r="AA192" s="134"/>
      <c r="AB192" s="134"/>
      <c r="AC192" s="134"/>
      <c r="AD192" s="134"/>
      <c r="AE192" s="134"/>
      <c r="AF192" s="135"/>
      <c r="AG192" s="24"/>
    </row>
    <row r="193">
      <c r="A193" s="313" t="s">
        <v>416</v>
      </c>
      <c r="B193" s="314"/>
      <c r="C193" s="314"/>
      <c r="D193" s="314"/>
      <c r="E193" s="314"/>
      <c r="F193" s="314"/>
      <c r="G193" s="314"/>
      <c r="H193" s="314"/>
      <c r="I193" s="314"/>
      <c r="J193" s="314"/>
      <c r="K193" s="314"/>
      <c r="L193" s="314"/>
      <c r="M193" s="314"/>
      <c r="N193" s="314"/>
      <c r="O193" s="314"/>
      <c r="P193" s="314"/>
      <c r="Q193" s="314"/>
      <c r="R193" s="314"/>
      <c r="S193" s="314"/>
      <c r="T193" s="314"/>
      <c r="U193" s="314"/>
      <c r="V193" s="314"/>
      <c r="W193" s="314"/>
      <c r="X193" s="314"/>
      <c r="Y193" s="314"/>
      <c r="Z193" s="314"/>
      <c r="AA193" s="314"/>
      <c r="AB193" s="314"/>
      <c r="AC193" s="314"/>
      <c r="AD193" s="314"/>
      <c r="AE193" s="314"/>
      <c r="AF193" s="315"/>
      <c r="AG193" s="24"/>
    </row>
    <row r="194">
      <c r="A194" s="313" t="s">
        <v>238</v>
      </c>
      <c r="B194" s="316">
        <f t="shared" ref="B194:AF194" si="95">(B42/B14)*(B5)</f>
        <v>59.8447961</v>
      </c>
      <c r="C194" s="316">
        <f t="shared" si="95"/>
        <v>34.47962323</v>
      </c>
      <c r="D194" s="316">
        <f t="shared" si="95"/>
        <v>56.887376</v>
      </c>
      <c r="E194" s="316">
        <f t="shared" si="95"/>
        <v>56.6736</v>
      </c>
      <c r="F194" s="316">
        <f t="shared" si="95"/>
        <v>30.7516625</v>
      </c>
      <c r="G194" s="316">
        <f t="shared" si="95"/>
        <v>85.561658</v>
      </c>
      <c r="H194" s="316">
        <f t="shared" si="95"/>
        <v>43.350216</v>
      </c>
      <c r="I194" s="316">
        <f t="shared" si="95"/>
        <v>58.13801217</v>
      </c>
      <c r="J194" s="316">
        <f t="shared" si="95"/>
        <v>35.57785263</v>
      </c>
      <c r="K194" s="316">
        <f t="shared" si="95"/>
        <v>41.44470353</v>
      </c>
      <c r="L194" s="316">
        <f t="shared" si="95"/>
        <v>37.622312</v>
      </c>
      <c r="M194" s="316">
        <f t="shared" si="95"/>
        <v>39.79437429</v>
      </c>
      <c r="N194" s="316">
        <f t="shared" si="95"/>
        <v>22.22178</v>
      </c>
      <c r="O194" s="316">
        <f t="shared" si="95"/>
        <v>13.59418667</v>
      </c>
      <c r="P194" s="316">
        <f t="shared" si="95"/>
        <v>62.70646909</v>
      </c>
      <c r="Q194" s="316">
        <f t="shared" si="95"/>
        <v>27.38328</v>
      </c>
      <c r="R194" s="316">
        <f t="shared" si="95"/>
        <v>38.94228</v>
      </c>
      <c r="S194" s="316">
        <f t="shared" si="95"/>
        <v>50.59003733</v>
      </c>
      <c r="T194" s="316">
        <f t="shared" si="95"/>
        <v>6.478628</v>
      </c>
      <c r="U194" s="316">
        <f t="shared" si="95"/>
        <v>45.11689</v>
      </c>
      <c r="V194" s="316">
        <f t="shared" si="95"/>
        <v>32.26699412</v>
      </c>
      <c r="W194" s="316">
        <f t="shared" si="95"/>
        <v>72.41824828</v>
      </c>
      <c r="X194" s="316">
        <f t="shared" si="95"/>
        <v>64.11587684</v>
      </c>
      <c r="Y194" s="316">
        <f t="shared" si="95"/>
        <v>44.88393</v>
      </c>
      <c r="Z194" s="316">
        <f t="shared" si="95"/>
        <v>4.937486667</v>
      </c>
      <c r="AA194" s="316">
        <f t="shared" si="95"/>
        <v>26.53461778</v>
      </c>
      <c r="AB194" s="316">
        <f t="shared" si="95"/>
        <v>32.12781867</v>
      </c>
      <c r="AC194" s="316">
        <f t="shared" si="95"/>
        <v>28.421445</v>
      </c>
      <c r="AD194" s="316">
        <f t="shared" si="95"/>
        <v>41.11657333</v>
      </c>
      <c r="AE194" s="316">
        <f t="shared" si="95"/>
        <v>152.9562</v>
      </c>
      <c r="AF194" s="317">
        <f t="shared" si="95"/>
        <v>25.0364</v>
      </c>
      <c r="AG194" s="24"/>
    </row>
    <row r="195">
      <c r="A195" s="313" t="s">
        <v>241</v>
      </c>
      <c r="B195" s="316">
        <f t="shared" ref="B195:AF195" si="96">(B43/B14)*B5</f>
        <v>2.4</v>
      </c>
      <c r="C195" s="316">
        <f t="shared" si="96"/>
        <v>1.8</v>
      </c>
      <c r="D195" s="316">
        <f t="shared" si="96"/>
        <v>2.1</v>
      </c>
      <c r="E195" s="316">
        <f t="shared" si="96"/>
        <v>2.7</v>
      </c>
      <c r="F195" s="316">
        <f t="shared" si="96"/>
        <v>1.5</v>
      </c>
      <c r="G195" s="316">
        <f t="shared" si="96"/>
        <v>3.9</v>
      </c>
      <c r="H195" s="316">
        <f t="shared" si="96"/>
        <v>2.1</v>
      </c>
      <c r="I195" s="316">
        <f t="shared" si="96"/>
        <v>2.7</v>
      </c>
      <c r="J195" s="316">
        <f t="shared" si="96"/>
        <v>1.8</v>
      </c>
      <c r="K195" s="316">
        <f t="shared" si="96"/>
        <v>1.8</v>
      </c>
      <c r="L195" s="316">
        <f t="shared" si="96"/>
        <v>2.1</v>
      </c>
      <c r="M195" s="316">
        <f t="shared" si="96"/>
        <v>1.8</v>
      </c>
      <c r="N195" s="316">
        <f t="shared" si="96"/>
        <v>0.9</v>
      </c>
      <c r="O195" s="316">
        <f t="shared" si="96"/>
        <v>0.6</v>
      </c>
      <c r="P195" s="316">
        <f t="shared" si="96"/>
        <v>2.7</v>
      </c>
      <c r="Q195" s="316">
        <f t="shared" si="96"/>
        <v>1.2</v>
      </c>
      <c r="R195" s="316">
        <f t="shared" si="96"/>
        <v>1.8</v>
      </c>
      <c r="S195" s="316">
        <f t="shared" si="96"/>
        <v>2.4</v>
      </c>
      <c r="T195" s="316">
        <f t="shared" si="96"/>
        <v>0.3</v>
      </c>
      <c r="U195" s="316">
        <f t="shared" si="96"/>
        <v>2.1</v>
      </c>
      <c r="V195" s="316">
        <f t="shared" si="96"/>
        <v>1.5</v>
      </c>
      <c r="W195" s="316">
        <f t="shared" si="96"/>
        <v>3.9</v>
      </c>
      <c r="X195" s="316">
        <f t="shared" si="96"/>
        <v>2.7</v>
      </c>
      <c r="Y195" s="316">
        <f t="shared" si="96"/>
        <v>1.8</v>
      </c>
      <c r="Z195" s="316">
        <f t="shared" si="96"/>
        <v>0.9</v>
      </c>
      <c r="AA195" s="316">
        <f t="shared" si="96"/>
        <v>1.2</v>
      </c>
      <c r="AB195" s="316">
        <f t="shared" si="96"/>
        <v>1.2</v>
      </c>
      <c r="AC195" s="316">
        <f t="shared" si="96"/>
        <v>1.5</v>
      </c>
      <c r="AD195" s="316">
        <f t="shared" si="96"/>
        <v>1.5</v>
      </c>
      <c r="AE195" s="316">
        <f t="shared" si="96"/>
        <v>3</v>
      </c>
      <c r="AF195" s="317">
        <f t="shared" si="96"/>
        <v>1.5</v>
      </c>
      <c r="AG195" s="24"/>
    </row>
    <row r="196">
      <c r="A196" s="313" t="s">
        <v>428</v>
      </c>
      <c r="B196" s="316">
        <f t="shared" ref="B196:AF196" si="97">85*B5</f>
        <v>680</v>
      </c>
      <c r="C196" s="316">
        <f t="shared" si="97"/>
        <v>510</v>
      </c>
      <c r="D196" s="316">
        <f t="shared" si="97"/>
        <v>595</v>
      </c>
      <c r="E196" s="316">
        <f t="shared" si="97"/>
        <v>765</v>
      </c>
      <c r="F196" s="316">
        <f t="shared" si="97"/>
        <v>425</v>
      </c>
      <c r="G196" s="316">
        <f t="shared" si="97"/>
        <v>1105</v>
      </c>
      <c r="H196" s="316">
        <f t="shared" si="97"/>
        <v>595</v>
      </c>
      <c r="I196" s="316">
        <f t="shared" si="97"/>
        <v>765</v>
      </c>
      <c r="J196" s="316">
        <f t="shared" si="97"/>
        <v>510</v>
      </c>
      <c r="K196" s="316">
        <f t="shared" si="97"/>
        <v>510</v>
      </c>
      <c r="L196" s="316">
        <f t="shared" si="97"/>
        <v>595</v>
      </c>
      <c r="M196" s="316">
        <f t="shared" si="97"/>
        <v>510</v>
      </c>
      <c r="N196" s="316">
        <f t="shared" si="97"/>
        <v>255</v>
      </c>
      <c r="O196" s="316">
        <f t="shared" si="97"/>
        <v>170</v>
      </c>
      <c r="P196" s="316">
        <f t="shared" si="97"/>
        <v>765</v>
      </c>
      <c r="Q196" s="316">
        <f t="shared" si="97"/>
        <v>340</v>
      </c>
      <c r="R196" s="316">
        <f t="shared" si="97"/>
        <v>510</v>
      </c>
      <c r="S196" s="316">
        <f t="shared" si="97"/>
        <v>680</v>
      </c>
      <c r="T196" s="316">
        <f t="shared" si="97"/>
        <v>85</v>
      </c>
      <c r="U196" s="316">
        <f t="shared" si="97"/>
        <v>595</v>
      </c>
      <c r="V196" s="316">
        <f t="shared" si="97"/>
        <v>425</v>
      </c>
      <c r="W196" s="316">
        <f t="shared" si="97"/>
        <v>1105</v>
      </c>
      <c r="X196" s="316">
        <f t="shared" si="97"/>
        <v>765</v>
      </c>
      <c r="Y196" s="316">
        <f t="shared" si="97"/>
        <v>510</v>
      </c>
      <c r="Z196" s="316">
        <f t="shared" si="97"/>
        <v>255</v>
      </c>
      <c r="AA196" s="316">
        <f t="shared" si="97"/>
        <v>340</v>
      </c>
      <c r="AB196" s="316">
        <f t="shared" si="97"/>
        <v>340</v>
      </c>
      <c r="AC196" s="316">
        <f t="shared" si="97"/>
        <v>425</v>
      </c>
      <c r="AD196" s="316">
        <f t="shared" si="97"/>
        <v>425</v>
      </c>
      <c r="AE196" s="316">
        <f t="shared" si="97"/>
        <v>850</v>
      </c>
      <c r="AF196" s="317">
        <f t="shared" si="97"/>
        <v>425</v>
      </c>
      <c r="AG196" s="24"/>
    </row>
    <row r="197">
      <c r="A197" s="313" t="s">
        <v>296</v>
      </c>
      <c r="B197" s="316">
        <f t="shared" ref="B197:AF197" si="98">10*B5</f>
        <v>80</v>
      </c>
      <c r="C197" s="316">
        <f t="shared" si="98"/>
        <v>60</v>
      </c>
      <c r="D197" s="316">
        <f t="shared" si="98"/>
        <v>70</v>
      </c>
      <c r="E197" s="316">
        <f t="shared" si="98"/>
        <v>90</v>
      </c>
      <c r="F197" s="316">
        <f t="shared" si="98"/>
        <v>50</v>
      </c>
      <c r="G197" s="316">
        <f t="shared" si="98"/>
        <v>130</v>
      </c>
      <c r="H197" s="316">
        <f t="shared" si="98"/>
        <v>70</v>
      </c>
      <c r="I197" s="316">
        <f t="shared" si="98"/>
        <v>90</v>
      </c>
      <c r="J197" s="316">
        <f t="shared" si="98"/>
        <v>60</v>
      </c>
      <c r="K197" s="316">
        <f t="shared" si="98"/>
        <v>60</v>
      </c>
      <c r="L197" s="316">
        <f t="shared" si="98"/>
        <v>70</v>
      </c>
      <c r="M197" s="316">
        <f t="shared" si="98"/>
        <v>60</v>
      </c>
      <c r="N197" s="316">
        <f t="shared" si="98"/>
        <v>30</v>
      </c>
      <c r="O197" s="316">
        <f t="shared" si="98"/>
        <v>20</v>
      </c>
      <c r="P197" s="316">
        <f t="shared" si="98"/>
        <v>90</v>
      </c>
      <c r="Q197" s="316">
        <f t="shared" si="98"/>
        <v>40</v>
      </c>
      <c r="R197" s="316">
        <f t="shared" si="98"/>
        <v>60</v>
      </c>
      <c r="S197" s="316">
        <f t="shared" si="98"/>
        <v>80</v>
      </c>
      <c r="T197" s="316">
        <f t="shared" si="98"/>
        <v>10</v>
      </c>
      <c r="U197" s="316">
        <f t="shared" si="98"/>
        <v>70</v>
      </c>
      <c r="V197" s="316">
        <f t="shared" si="98"/>
        <v>50</v>
      </c>
      <c r="W197" s="316">
        <f t="shared" si="98"/>
        <v>130</v>
      </c>
      <c r="X197" s="316">
        <f t="shared" si="98"/>
        <v>90</v>
      </c>
      <c r="Y197" s="316">
        <f t="shared" si="98"/>
        <v>60</v>
      </c>
      <c r="Z197" s="316">
        <f t="shared" si="98"/>
        <v>30</v>
      </c>
      <c r="AA197" s="316">
        <f t="shared" si="98"/>
        <v>40</v>
      </c>
      <c r="AB197" s="316">
        <f t="shared" si="98"/>
        <v>40</v>
      </c>
      <c r="AC197" s="316">
        <f t="shared" si="98"/>
        <v>50</v>
      </c>
      <c r="AD197" s="316">
        <f t="shared" si="98"/>
        <v>50</v>
      </c>
      <c r="AE197" s="316">
        <f t="shared" si="98"/>
        <v>100</v>
      </c>
      <c r="AF197" s="317">
        <f t="shared" si="98"/>
        <v>50</v>
      </c>
      <c r="AG197" s="24"/>
    </row>
    <row r="198">
      <c r="A198" s="313"/>
      <c r="B198" s="313"/>
      <c r="C198" s="313"/>
      <c r="D198" s="313"/>
      <c r="E198" s="313"/>
      <c r="F198" s="313"/>
      <c r="G198" s="313"/>
      <c r="H198" s="313"/>
      <c r="I198" s="313"/>
      <c r="J198" s="313"/>
      <c r="K198" s="313"/>
      <c r="L198" s="313"/>
      <c r="M198" s="313"/>
      <c r="N198" s="313"/>
      <c r="O198" s="313"/>
      <c r="P198" s="313"/>
      <c r="Q198" s="313"/>
      <c r="R198" s="313"/>
      <c r="S198" s="313"/>
      <c r="T198" s="313"/>
      <c r="U198" s="313"/>
      <c r="V198" s="313"/>
      <c r="W198" s="313"/>
      <c r="X198" s="313"/>
      <c r="Y198" s="313"/>
      <c r="Z198" s="313"/>
      <c r="AA198" s="313"/>
      <c r="AB198" s="313"/>
      <c r="AC198" s="313"/>
      <c r="AD198" s="313"/>
      <c r="AE198" s="313"/>
      <c r="AF198" s="318"/>
      <c r="AG198" s="24"/>
    </row>
    <row r="199">
      <c r="A199" s="24" t="s">
        <v>429</v>
      </c>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c r="AA199" s="134"/>
      <c r="AB199" s="134"/>
      <c r="AC199" s="134"/>
      <c r="AD199" s="134"/>
      <c r="AE199" s="134"/>
      <c r="AF199" s="135"/>
      <c r="AG199" s="24"/>
    </row>
    <row r="200">
      <c r="A200" s="313" t="s">
        <v>416</v>
      </c>
      <c r="B200" s="314"/>
      <c r="C200" s="314"/>
      <c r="D200" s="314"/>
      <c r="E200" s="314"/>
      <c r="F200" s="314"/>
      <c r="G200" s="314"/>
      <c r="H200" s="314"/>
      <c r="I200" s="314"/>
      <c r="J200" s="314"/>
      <c r="K200" s="314"/>
      <c r="L200" s="314"/>
      <c r="M200" s="314"/>
      <c r="N200" s="314"/>
      <c r="O200" s="314"/>
      <c r="P200" s="314"/>
      <c r="Q200" s="314"/>
      <c r="R200" s="314"/>
      <c r="S200" s="314"/>
      <c r="T200" s="314"/>
      <c r="U200" s="314"/>
      <c r="V200" s="314"/>
      <c r="W200" s="314"/>
      <c r="X200" s="314"/>
      <c r="Y200" s="314"/>
      <c r="Z200" s="314"/>
      <c r="AA200" s="314"/>
      <c r="AB200" s="314"/>
      <c r="AC200" s="314"/>
      <c r="AD200" s="314"/>
      <c r="AE200" s="314"/>
      <c r="AF200" s="315"/>
      <c r="AG200" s="24"/>
    </row>
    <row r="201">
      <c r="A201" s="313" t="s">
        <v>238</v>
      </c>
      <c r="B201" s="316">
        <f t="shared" ref="B201:AF201" si="99">(B42/B26)*B18</f>
        <v>0</v>
      </c>
      <c r="C201" s="316">
        <f t="shared" si="99"/>
        <v>0</v>
      </c>
      <c r="D201" s="316">
        <f t="shared" si="99"/>
        <v>0</v>
      </c>
      <c r="E201" s="316">
        <f t="shared" si="99"/>
        <v>0</v>
      </c>
      <c r="F201" s="316">
        <f t="shared" si="99"/>
        <v>0</v>
      </c>
      <c r="G201" s="316">
        <f t="shared" si="99"/>
        <v>0</v>
      </c>
      <c r="H201" s="316">
        <f t="shared" si="99"/>
        <v>0</v>
      </c>
      <c r="I201" s="316">
        <f t="shared" si="99"/>
        <v>0</v>
      </c>
      <c r="J201" s="316">
        <f t="shared" si="99"/>
        <v>0</v>
      </c>
      <c r="K201" s="316">
        <f t="shared" si="99"/>
        <v>0</v>
      </c>
      <c r="L201" s="316">
        <f t="shared" si="99"/>
        <v>0</v>
      </c>
      <c r="M201" s="316">
        <f t="shared" si="99"/>
        <v>0</v>
      </c>
      <c r="N201" s="316">
        <f t="shared" si="99"/>
        <v>0</v>
      </c>
      <c r="O201" s="316">
        <f t="shared" si="99"/>
        <v>0</v>
      </c>
      <c r="P201" s="316">
        <f t="shared" si="99"/>
        <v>0</v>
      </c>
      <c r="Q201" s="316">
        <f t="shared" si="99"/>
        <v>0</v>
      </c>
      <c r="R201" s="316">
        <f t="shared" si="99"/>
        <v>0</v>
      </c>
      <c r="S201" s="316">
        <f t="shared" si="99"/>
        <v>0</v>
      </c>
      <c r="T201" s="316">
        <f t="shared" si="99"/>
        <v>0</v>
      </c>
      <c r="U201" s="316">
        <f t="shared" si="99"/>
        <v>0</v>
      </c>
      <c r="V201" s="316">
        <f t="shared" si="99"/>
        <v>0</v>
      </c>
      <c r="W201" s="316">
        <f t="shared" si="99"/>
        <v>0</v>
      </c>
      <c r="X201" s="316">
        <f t="shared" si="99"/>
        <v>0</v>
      </c>
      <c r="Y201" s="316">
        <f t="shared" si="99"/>
        <v>0</v>
      </c>
      <c r="Z201" s="316">
        <f t="shared" si="99"/>
        <v>0</v>
      </c>
      <c r="AA201" s="316">
        <f t="shared" si="99"/>
        <v>0</v>
      </c>
      <c r="AB201" s="316">
        <f t="shared" si="99"/>
        <v>0</v>
      </c>
      <c r="AC201" s="316">
        <f t="shared" si="99"/>
        <v>0</v>
      </c>
      <c r="AD201" s="316">
        <f t="shared" si="99"/>
        <v>0</v>
      </c>
      <c r="AE201" s="316">
        <f t="shared" si="99"/>
        <v>0</v>
      </c>
      <c r="AF201" s="317">
        <f t="shared" si="99"/>
        <v>0</v>
      </c>
      <c r="AG201" s="24"/>
    </row>
    <row r="202">
      <c r="A202" s="313" t="s">
        <v>241</v>
      </c>
      <c r="B202" s="316">
        <f t="shared" ref="B202:AF202" si="100">(B43/B14)*B6</f>
        <v>0</v>
      </c>
      <c r="C202" s="316">
        <f t="shared" si="100"/>
        <v>0</v>
      </c>
      <c r="D202" s="316">
        <f t="shared" si="100"/>
        <v>0</v>
      </c>
      <c r="E202" s="316">
        <f t="shared" si="100"/>
        <v>0</v>
      </c>
      <c r="F202" s="316">
        <f t="shared" si="100"/>
        <v>0</v>
      </c>
      <c r="G202" s="316">
        <f t="shared" si="100"/>
        <v>0</v>
      </c>
      <c r="H202" s="316">
        <f t="shared" si="100"/>
        <v>0</v>
      </c>
      <c r="I202" s="316">
        <f t="shared" si="100"/>
        <v>0</v>
      </c>
      <c r="J202" s="316">
        <f t="shared" si="100"/>
        <v>0</v>
      </c>
      <c r="K202" s="316">
        <f t="shared" si="100"/>
        <v>0</v>
      </c>
      <c r="L202" s="316">
        <f t="shared" si="100"/>
        <v>0</v>
      </c>
      <c r="M202" s="316">
        <f t="shared" si="100"/>
        <v>0</v>
      </c>
      <c r="N202" s="316">
        <f t="shared" si="100"/>
        <v>0</v>
      </c>
      <c r="O202" s="316">
        <f t="shared" si="100"/>
        <v>0</v>
      </c>
      <c r="P202" s="316">
        <f t="shared" si="100"/>
        <v>0</v>
      </c>
      <c r="Q202" s="316">
        <f t="shared" si="100"/>
        <v>0</v>
      </c>
      <c r="R202" s="316">
        <f t="shared" si="100"/>
        <v>0</v>
      </c>
      <c r="S202" s="316">
        <f t="shared" si="100"/>
        <v>0</v>
      </c>
      <c r="T202" s="316">
        <f t="shared" si="100"/>
        <v>0</v>
      </c>
      <c r="U202" s="316">
        <f t="shared" si="100"/>
        <v>0</v>
      </c>
      <c r="V202" s="316">
        <f t="shared" si="100"/>
        <v>0</v>
      </c>
      <c r="W202" s="316">
        <f t="shared" si="100"/>
        <v>0</v>
      </c>
      <c r="X202" s="316">
        <f t="shared" si="100"/>
        <v>0</v>
      </c>
      <c r="Y202" s="316">
        <f t="shared" si="100"/>
        <v>0</v>
      </c>
      <c r="Z202" s="316">
        <f t="shared" si="100"/>
        <v>0</v>
      </c>
      <c r="AA202" s="316">
        <f t="shared" si="100"/>
        <v>0</v>
      </c>
      <c r="AB202" s="316">
        <f t="shared" si="100"/>
        <v>0</v>
      </c>
      <c r="AC202" s="316">
        <f t="shared" si="100"/>
        <v>0</v>
      </c>
      <c r="AD202" s="316">
        <f t="shared" si="100"/>
        <v>0</v>
      </c>
      <c r="AE202" s="316">
        <f t="shared" si="100"/>
        <v>0</v>
      </c>
      <c r="AF202" s="317">
        <f t="shared" si="100"/>
        <v>0</v>
      </c>
      <c r="AG202" s="24"/>
    </row>
    <row r="203">
      <c r="A203" s="313" t="s">
        <v>428</v>
      </c>
      <c r="B203" s="316">
        <f t="shared" ref="B203:AF203" si="101">85*B6</f>
        <v>0</v>
      </c>
      <c r="C203" s="316">
        <f t="shared" si="101"/>
        <v>0</v>
      </c>
      <c r="D203" s="316">
        <f t="shared" si="101"/>
        <v>0</v>
      </c>
      <c r="E203" s="316">
        <f t="shared" si="101"/>
        <v>0</v>
      </c>
      <c r="F203" s="316">
        <f t="shared" si="101"/>
        <v>0</v>
      </c>
      <c r="G203" s="316">
        <f t="shared" si="101"/>
        <v>0</v>
      </c>
      <c r="H203" s="316">
        <f t="shared" si="101"/>
        <v>0</v>
      </c>
      <c r="I203" s="316">
        <f t="shared" si="101"/>
        <v>0</v>
      </c>
      <c r="J203" s="316">
        <f t="shared" si="101"/>
        <v>0</v>
      </c>
      <c r="K203" s="316">
        <f t="shared" si="101"/>
        <v>0</v>
      </c>
      <c r="L203" s="316">
        <f t="shared" si="101"/>
        <v>0</v>
      </c>
      <c r="M203" s="316">
        <f t="shared" si="101"/>
        <v>0</v>
      </c>
      <c r="N203" s="316">
        <f t="shared" si="101"/>
        <v>0</v>
      </c>
      <c r="O203" s="316">
        <f t="shared" si="101"/>
        <v>0</v>
      </c>
      <c r="P203" s="316">
        <f t="shared" si="101"/>
        <v>0</v>
      </c>
      <c r="Q203" s="316">
        <f t="shared" si="101"/>
        <v>0</v>
      </c>
      <c r="R203" s="316">
        <f t="shared" si="101"/>
        <v>0</v>
      </c>
      <c r="S203" s="316">
        <f t="shared" si="101"/>
        <v>0</v>
      </c>
      <c r="T203" s="316">
        <f t="shared" si="101"/>
        <v>0</v>
      </c>
      <c r="U203" s="316">
        <f t="shared" si="101"/>
        <v>0</v>
      </c>
      <c r="V203" s="316">
        <f t="shared" si="101"/>
        <v>0</v>
      </c>
      <c r="W203" s="316">
        <f t="shared" si="101"/>
        <v>0</v>
      </c>
      <c r="X203" s="316">
        <f t="shared" si="101"/>
        <v>0</v>
      </c>
      <c r="Y203" s="316">
        <f t="shared" si="101"/>
        <v>0</v>
      </c>
      <c r="Z203" s="316">
        <f t="shared" si="101"/>
        <v>0</v>
      </c>
      <c r="AA203" s="316">
        <f t="shared" si="101"/>
        <v>0</v>
      </c>
      <c r="AB203" s="316">
        <f t="shared" si="101"/>
        <v>0</v>
      </c>
      <c r="AC203" s="316">
        <f t="shared" si="101"/>
        <v>0</v>
      </c>
      <c r="AD203" s="316">
        <f t="shared" si="101"/>
        <v>0</v>
      </c>
      <c r="AE203" s="316">
        <f t="shared" si="101"/>
        <v>0</v>
      </c>
      <c r="AF203" s="317">
        <f t="shared" si="101"/>
        <v>0</v>
      </c>
      <c r="AG203" s="24"/>
    </row>
    <row r="204">
      <c r="A204" s="313" t="s">
        <v>296</v>
      </c>
      <c r="B204" s="316">
        <f t="shared" ref="B204:AF204" si="102">10*B6</f>
        <v>0</v>
      </c>
      <c r="C204" s="316">
        <f t="shared" si="102"/>
        <v>0</v>
      </c>
      <c r="D204" s="316">
        <f t="shared" si="102"/>
        <v>0</v>
      </c>
      <c r="E204" s="316">
        <f t="shared" si="102"/>
        <v>0</v>
      </c>
      <c r="F204" s="316">
        <f t="shared" si="102"/>
        <v>0</v>
      </c>
      <c r="G204" s="316">
        <f t="shared" si="102"/>
        <v>0</v>
      </c>
      <c r="H204" s="316">
        <f t="shared" si="102"/>
        <v>0</v>
      </c>
      <c r="I204" s="316">
        <f t="shared" si="102"/>
        <v>0</v>
      </c>
      <c r="J204" s="316">
        <f t="shared" si="102"/>
        <v>0</v>
      </c>
      <c r="K204" s="316">
        <f t="shared" si="102"/>
        <v>0</v>
      </c>
      <c r="L204" s="316">
        <f t="shared" si="102"/>
        <v>0</v>
      </c>
      <c r="M204" s="316">
        <f t="shared" si="102"/>
        <v>0</v>
      </c>
      <c r="N204" s="316">
        <f t="shared" si="102"/>
        <v>0</v>
      </c>
      <c r="O204" s="316">
        <f t="shared" si="102"/>
        <v>0</v>
      </c>
      <c r="P204" s="316">
        <f t="shared" si="102"/>
        <v>0</v>
      </c>
      <c r="Q204" s="316">
        <f t="shared" si="102"/>
        <v>0</v>
      </c>
      <c r="R204" s="316">
        <f t="shared" si="102"/>
        <v>0</v>
      </c>
      <c r="S204" s="316">
        <f t="shared" si="102"/>
        <v>0</v>
      </c>
      <c r="T204" s="316">
        <f t="shared" si="102"/>
        <v>0</v>
      </c>
      <c r="U204" s="316">
        <f t="shared" si="102"/>
        <v>0</v>
      </c>
      <c r="V204" s="316">
        <f t="shared" si="102"/>
        <v>0</v>
      </c>
      <c r="W204" s="316">
        <f t="shared" si="102"/>
        <v>0</v>
      </c>
      <c r="X204" s="316">
        <f t="shared" si="102"/>
        <v>0</v>
      </c>
      <c r="Y204" s="316">
        <f t="shared" si="102"/>
        <v>0</v>
      </c>
      <c r="Z204" s="316">
        <f t="shared" si="102"/>
        <v>0</v>
      </c>
      <c r="AA204" s="316">
        <f t="shared" si="102"/>
        <v>0</v>
      </c>
      <c r="AB204" s="316">
        <f t="shared" si="102"/>
        <v>0</v>
      </c>
      <c r="AC204" s="316">
        <f t="shared" si="102"/>
        <v>0</v>
      </c>
      <c r="AD204" s="316">
        <f t="shared" si="102"/>
        <v>0</v>
      </c>
      <c r="AE204" s="316">
        <f t="shared" si="102"/>
        <v>0</v>
      </c>
      <c r="AF204" s="317">
        <f t="shared" si="102"/>
        <v>0</v>
      </c>
      <c r="AG204" s="24"/>
    </row>
    <row r="205">
      <c r="A205" s="313"/>
      <c r="B205" s="313"/>
      <c r="C205" s="313"/>
      <c r="D205" s="313"/>
      <c r="E205" s="313"/>
      <c r="F205" s="313"/>
      <c r="G205" s="313"/>
      <c r="H205" s="313"/>
      <c r="I205" s="313"/>
      <c r="J205" s="313"/>
      <c r="K205" s="313"/>
      <c r="L205" s="313"/>
      <c r="M205" s="313"/>
      <c r="N205" s="313"/>
      <c r="O205" s="313"/>
      <c r="P205" s="313"/>
      <c r="Q205" s="313"/>
      <c r="R205" s="313"/>
      <c r="S205" s="313"/>
      <c r="T205" s="313"/>
      <c r="U205" s="313"/>
      <c r="V205" s="313"/>
      <c r="W205" s="313"/>
      <c r="X205" s="313"/>
      <c r="Y205" s="313"/>
      <c r="Z205" s="313"/>
      <c r="AA205" s="313"/>
      <c r="AB205" s="313"/>
      <c r="AC205" s="313"/>
      <c r="AD205" s="313"/>
      <c r="AE205" s="313"/>
      <c r="AF205" s="318"/>
      <c r="AG205" s="24"/>
    </row>
    <row r="206">
      <c r="A206" s="24" t="s">
        <v>430</v>
      </c>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c r="AA206" s="134"/>
      <c r="AB206" s="134"/>
      <c r="AC206" s="134"/>
      <c r="AD206" s="134"/>
      <c r="AE206" s="134"/>
      <c r="AF206" s="135"/>
      <c r="AG206" s="24"/>
    </row>
    <row r="207">
      <c r="A207" s="313" t="s">
        <v>416</v>
      </c>
      <c r="B207" s="314"/>
      <c r="C207" s="314"/>
      <c r="D207" s="314"/>
      <c r="E207" s="314"/>
      <c r="F207" s="314"/>
      <c r="G207" s="314"/>
      <c r="H207" s="314"/>
      <c r="I207" s="314"/>
      <c r="J207" s="314"/>
      <c r="K207" s="314"/>
      <c r="L207" s="314"/>
      <c r="M207" s="314"/>
      <c r="N207" s="314"/>
      <c r="O207" s="314"/>
      <c r="P207" s="314"/>
      <c r="Q207" s="314"/>
      <c r="R207" s="314"/>
      <c r="S207" s="314"/>
      <c r="T207" s="314"/>
      <c r="U207" s="314"/>
      <c r="V207" s="314"/>
      <c r="W207" s="314"/>
      <c r="X207" s="314"/>
      <c r="Y207" s="314"/>
      <c r="Z207" s="314"/>
      <c r="AA207" s="314"/>
      <c r="AB207" s="314"/>
      <c r="AC207" s="314"/>
      <c r="AD207" s="314"/>
      <c r="AE207" s="314"/>
      <c r="AF207" s="315"/>
      <c r="AG207" s="24"/>
    </row>
    <row r="208">
      <c r="A208" s="313" t="s">
        <v>238</v>
      </c>
      <c r="B208" s="316">
        <f t="shared" ref="B208:AF208" si="103">(B42/B26)*B19</f>
        <v>0</v>
      </c>
      <c r="C208" s="316">
        <f t="shared" si="103"/>
        <v>0</v>
      </c>
      <c r="D208" s="316">
        <f t="shared" si="103"/>
        <v>0</v>
      </c>
      <c r="E208" s="316">
        <f t="shared" si="103"/>
        <v>0</v>
      </c>
      <c r="F208" s="316">
        <f t="shared" si="103"/>
        <v>0</v>
      </c>
      <c r="G208" s="316">
        <f t="shared" si="103"/>
        <v>0</v>
      </c>
      <c r="H208" s="316">
        <f t="shared" si="103"/>
        <v>0</v>
      </c>
      <c r="I208" s="316">
        <f t="shared" si="103"/>
        <v>0</v>
      </c>
      <c r="J208" s="316">
        <f t="shared" si="103"/>
        <v>0</v>
      </c>
      <c r="K208" s="316">
        <f t="shared" si="103"/>
        <v>0</v>
      </c>
      <c r="L208" s="316">
        <f t="shared" si="103"/>
        <v>0</v>
      </c>
      <c r="M208" s="316">
        <f t="shared" si="103"/>
        <v>0</v>
      </c>
      <c r="N208" s="316">
        <f t="shared" si="103"/>
        <v>0</v>
      </c>
      <c r="O208" s="316">
        <f t="shared" si="103"/>
        <v>0</v>
      </c>
      <c r="P208" s="316">
        <f t="shared" si="103"/>
        <v>0</v>
      </c>
      <c r="Q208" s="316">
        <f t="shared" si="103"/>
        <v>0</v>
      </c>
      <c r="R208" s="316">
        <f t="shared" si="103"/>
        <v>0</v>
      </c>
      <c r="S208" s="316">
        <f t="shared" si="103"/>
        <v>0</v>
      </c>
      <c r="T208" s="316">
        <f t="shared" si="103"/>
        <v>0</v>
      </c>
      <c r="U208" s="316">
        <f t="shared" si="103"/>
        <v>0</v>
      </c>
      <c r="V208" s="316">
        <f t="shared" si="103"/>
        <v>0</v>
      </c>
      <c r="W208" s="316">
        <f t="shared" si="103"/>
        <v>0</v>
      </c>
      <c r="X208" s="316">
        <f t="shared" si="103"/>
        <v>0</v>
      </c>
      <c r="Y208" s="316">
        <f t="shared" si="103"/>
        <v>0</v>
      </c>
      <c r="Z208" s="316">
        <f t="shared" si="103"/>
        <v>0</v>
      </c>
      <c r="AA208" s="316">
        <f t="shared" si="103"/>
        <v>0</v>
      </c>
      <c r="AB208" s="316">
        <f t="shared" si="103"/>
        <v>0</v>
      </c>
      <c r="AC208" s="316">
        <f t="shared" si="103"/>
        <v>0</v>
      </c>
      <c r="AD208" s="316">
        <f t="shared" si="103"/>
        <v>0</v>
      </c>
      <c r="AE208" s="316">
        <f t="shared" si="103"/>
        <v>0</v>
      </c>
      <c r="AF208" s="317">
        <f t="shared" si="103"/>
        <v>0</v>
      </c>
      <c r="AG208" s="24"/>
    </row>
    <row r="209">
      <c r="A209" s="313" t="s">
        <v>241</v>
      </c>
      <c r="B209" s="316">
        <f t="shared" ref="B209:AF209" si="104">(B43/B14)*B7</f>
        <v>0</v>
      </c>
      <c r="C209" s="316">
        <f t="shared" si="104"/>
        <v>0</v>
      </c>
      <c r="D209" s="316">
        <f t="shared" si="104"/>
        <v>0</v>
      </c>
      <c r="E209" s="316">
        <f t="shared" si="104"/>
        <v>0</v>
      </c>
      <c r="F209" s="316">
        <f t="shared" si="104"/>
        <v>0</v>
      </c>
      <c r="G209" s="316">
        <f t="shared" si="104"/>
        <v>0</v>
      </c>
      <c r="H209" s="316">
        <f t="shared" si="104"/>
        <v>0</v>
      </c>
      <c r="I209" s="316">
        <f t="shared" si="104"/>
        <v>0</v>
      </c>
      <c r="J209" s="316">
        <f t="shared" si="104"/>
        <v>0</v>
      </c>
      <c r="K209" s="316">
        <f t="shared" si="104"/>
        <v>0</v>
      </c>
      <c r="L209" s="316">
        <f t="shared" si="104"/>
        <v>0</v>
      </c>
      <c r="M209" s="316">
        <f t="shared" si="104"/>
        <v>0</v>
      </c>
      <c r="N209" s="316">
        <f t="shared" si="104"/>
        <v>0</v>
      </c>
      <c r="O209" s="316">
        <f t="shared" si="104"/>
        <v>0</v>
      </c>
      <c r="P209" s="316">
        <f t="shared" si="104"/>
        <v>0</v>
      </c>
      <c r="Q209" s="316">
        <f t="shared" si="104"/>
        <v>0</v>
      </c>
      <c r="R209" s="316">
        <f t="shared" si="104"/>
        <v>0</v>
      </c>
      <c r="S209" s="316">
        <f t="shared" si="104"/>
        <v>0</v>
      </c>
      <c r="T209" s="316">
        <f t="shared" si="104"/>
        <v>0</v>
      </c>
      <c r="U209" s="316">
        <f t="shared" si="104"/>
        <v>0</v>
      </c>
      <c r="V209" s="316">
        <f t="shared" si="104"/>
        <v>0</v>
      </c>
      <c r="W209" s="316">
        <f t="shared" si="104"/>
        <v>0</v>
      </c>
      <c r="X209" s="316">
        <f t="shared" si="104"/>
        <v>0</v>
      </c>
      <c r="Y209" s="316">
        <f t="shared" si="104"/>
        <v>0</v>
      </c>
      <c r="Z209" s="316">
        <f t="shared" si="104"/>
        <v>0</v>
      </c>
      <c r="AA209" s="316">
        <f t="shared" si="104"/>
        <v>0</v>
      </c>
      <c r="AB209" s="316">
        <f t="shared" si="104"/>
        <v>0</v>
      </c>
      <c r="AC209" s="316">
        <f t="shared" si="104"/>
        <v>0</v>
      </c>
      <c r="AD209" s="316">
        <f t="shared" si="104"/>
        <v>0</v>
      </c>
      <c r="AE209" s="316">
        <f t="shared" si="104"/>
        <v>0</v>
      </c>
      <c r="AF209" s="317">
        <f t="shared" si="104"/>
        <v>0</v>
      </c>
      <c r="AG209" s="24"/>
    </row>
    <row r="210">
      <c r="A210" s="313" t="s">
        <v>428</v>
      </c>
      <c r="B210" s="316">
        <f t="shared" ref="B210:AF210" si="105">85*B7</f>
        <v>0</v>
      </c>
      <c r="C210" s="316">
        <f t="shared" si="105"/>
        <v>0</v>
      </c>
      <c r="D210" s="316">
        <f t="shared" si="105"/>
        <v>0</v>
      </c>
      <c r="E210" s="316">
        <f t="shared" si="105"/>
        <v>0</v>
      </c>
      <c r="F210" s="316">
        <f t="shared" si="105"/>
        <v>0</v>
      </c>
      <c r="G210" s="316">
        <f t="shared" si="105"/>
        <v>0</v>
      </c>
      <c r="H210" s="316">
        <f t="shared" si="105"/>
        <v>0</v>
      </c>
      <c r="I210" s="316">
        <f t="shared" si="105"/>
        <v>0</v>
      </c>
      <c r="J210" s="316">
        <f t="shared" si="105"/>
        <v>0</v>
      </c>
      <c r="K210" s="316">
        <f t="shared" si="105"/>
        <v>0</v>
      </c>
      <c r="L210" s="316">
        <f t="shared" si="105"/>
        <v>0</v>
      </c>
      <c r="M210" s="316">
        <f t="shared" si="105"/>
        <v>0</v>
      </c>
      <c r="N210" s="316">
        <f t="shared" si="105"/>
        <v>0</v>
      </c>
      <c r="O210" s="316">
        <f t="shared" si="105"/>
        <v>0</v>
      </c>
      <c r="P210" s="316">
        <f t="shared" si="105"/>
        <v>0</v>
      </c>
      <c r="Q210" s="316">
        <f t="shared" si="105"/>
        <v>0</v>
      </c>
      <c r="R210" s="316">
        <f t="shared" si="105"/>
        <v>0</v>
      </c>
      <c r="S210" s="316">
        <f t="shared" si="105"/>
        <v>0</v>
      </c>
      <c r="T210" s="316">
        <f t="shared" si="105"/>
        <v>0</v>
      </c>
      <c r="U210" s="316">
        <f t="shared" si="105"/>
        <v>0</v>
      </c>
      <c r="V210" s="316">
        <f t="shared" si="105"/>
        <v>0</v>
      </c>
      <c r="W210" s="316">
        <f t="shared" si="105"/>
        <v>0</v>
      </c>
      <c r="X210" s="316">
        <f t="shared" si="105"/>
        <v>0</v>
      </c>
      <c r="Y210" s="316">
        <f t="shared" si="105"/>
        <v>0</v>
      </c>
      <c r="Z210" s="316">
        <f t="shared" si="105"/>
        <v>0</v>
      </c>
      <c r="AA210" s="316">
        <f t="shared" si="105"/>
        <v>0</v>
      </c>
      <c r="AB210" s="316">
        <f t="shared" si="105"/>
        <v>0</v>
      </c>
      <c r="AC210" s="316">
        <f t="shared" si="105"/>
        <v>0</v>
      </c>
      <c r="AD210" s="316">
        <f t="shared" si="105"/>
        <v>0</v>
      </c>
      <c r="AE210" s="316">
        <f t="shared" si="105"/>
        <v>0</v>
      </c>
      <c r="AF210" s="317">
        <f t="shared" si="105"/>
        <v>0</v>
      </c>
      <c r="AG210" s="24"/>
    </row>
    <row r="211">
      <c r="A211" s="313" t="s">
        <v>296</v>
      </c>
      <c r="B211" s="316">
        <f t="shared" ref="B211:AF211" si="106">10*B7</f>
        <v>0</v>
      </c>
      <c r="C211" s="316">
        <f t="shared" si="106"/>
        <v>0</v>
      </c>
      <c r="D211" s="316">
        <f t="shared" si="106"/>
        <v>0</v>
      </c>
      <c r="E211" s="316">
        <f t="shared" si="106"/>
        <v>0</v>
      </c>
      <c r="F211" s="316">
        <f t="shared" si="106"/>
        <v>0</v>
      </c>
      <c r="G211" s="316">
        <f t="shared" si="106"/>
        <v>0</v>
      </c>
      <c r="H211" s="316">
        <f t="shared" si="106"/>
        <v>0</v>
      </c>
      <c r="I211" s="316">
        <f t="shared" si="106"/>
        <v>0</v>
      </c>
      <c r="J211" s="316">
        <f t="shared" si="106"/>
        <v>0</v>
      </c>
      <c r="K211" s="316">
        <f t="shared" si="106"/>
        <v>0</v>
      </c>
      <c r="L211" s="316">
        <f t="shared" si="106"/>
        <v>0</v>
      </c>
      <c r="M211" s="316">
        <f t="shared" si="106"/>
        <v>0</v>
      </c>
      <c r="N211" s="316">
        <f t="shared" si="106"/>
        <v>0</v>
      </c>
      <c r="O211" s="316">
        <f t="shared" si="106"/>
        <v>0</v>
      </c>
      <c r="P211" s="316">
        <f t="shared" si="106"/>
        <v>0</v>
      </c>
      <c r="Q211" s="316">
        <f t="shared" si="106"/>
        <v>0</v>
      </c>
      <c r="R211" s="316">
        <f t="shared" si="106"/>
        <v>0</v>
      </c>
      <c r="S211" s="316">
        <f t="shared" si="106"/>
        <v>0</v>
      </c>
      <c r="T211" s="316">
        <f t="shared" si="106"/>
        <v>0</v>
      </c>
      <c r="U211" s="316">
        <f t="shared" si="106"/>
        <v>0</v>
      </c>
      <c r="V211" s="316">
        <f t="shared" si="106"/>
        <v>0</v>
      </c>
      <c r="W211" s="316">
        <f t="shared" si="106"/>
        <v>0</v>
      </c>
      <c r="X211" s="316">
        <f t="shared" si="106"/>
        <v>0</v>
      </c>
      <c r="Y211" s="316">
        <f t="shared" si="106"/>
        <v>0</v>
      </c>
      <c r="Z211" s="316">
        <f t="shared" si="106"/>
        <v>0</v>
      </c>
      <c r="AA211" s="316">
        <f t="shared" si="106"/>
        <v>0</v>
      </c>
      <c r="AB211" s="316">
        <f t="shared" si="106"/>
        <v>0</v>
      </c>
      <c r="AC211" s="316">
        <f t="shared" si="106"/>
        <v>0</v>
      </c>
      <c r="AD211" s="316">
        <f t="shared" si="106"/>
        <v>0</v>
      </c>
      <c r="AE211" s="316">
        <f t="shared" si="106"/>
        <v>0</v>
      </c>
      <c r="AF211" s="317">
        <f t="shared" si="106"/>
        <v>0</v>
      </c>
      <c r="AG211" s="24"/>
    </row>
    <row r="212">
      <c r="A212" s="313"/>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c r="AA212" s="134"/>
      <c r="AB212" s="134"/>
      <c r="AC212" s="134"/>
      <c r="AD212" s="134"/>
      <c r="AE212" s="134"/>
      <c r="AF212" s="135"/>
      <c r="AG212" s="134"/>
    </row>
    <row r="213">
      <c r="A213" s="24" t="s">
        <v>431</v>
      </c>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c r="AA213" s="134"/>
      <c r="AB213" s="134"/>
      <c r="AC213" s="134"/>
      <c r="AD213" s="134"/>
      <c r="AE213" s="134"/>
      <c r="AF213" s="135"/>
      <c r="AG213" s="24"/>
    </row>
    <row r="214">
      <c r="A214" s="313" t="s">
        <v>416</v>
      </c>
      <c r="B214" s="314"/>
      <c r="C214" s="314"/>
      <c r="D214" s="314"/>
      <c r="E214" s="314"/>
      <c r="F214" s="314"/>
      <c r="G214" s="314"/>
      <c r="H214" s="314"/>
      <c r="I214" s="314"/>
      <c r="J214" s="314"/>
      <c r="K214" s="314"/>
      <c r="L214" s="314"/>
      <c r="M214" s="314"/>
      <c r="N214" s="314"/>
      <c r="O214" s="314"/>
      <c r="P214" s="314"/>
      <c r="Q214" s="314"/>
      <c r="R214" s="314"/>
      <c r="S214" s="314"/>
      <c r="T214" s="314"/>
      <c r="U214" s="314"/>
      <c r="V214" s="314"/>
      <c r="W214" s="314"/>
      <c r="X214" s="314"/>
      <c r="Y214" s="314"/>
      <c r="Z214" s="314"/>
      <c r="AA214" s="314"/>
      <c r="AB214" s="314"/>
      <c r="AC214" s="314"/>
      <c r="AD214" s="314"/>
      <c r="AE214" s="314"/>
      <c r="AF214" s="315"/>
      <c r="AG214" s="24"/>
    </row>
    <row r="215">
      <c r="A215" s="313" t="s">
        <v>238</v>
      </c>
      <c r="B215" s="316">
        <f t="shared" ref="B215:AF215" si="107">(B42/B26)*B20</f>
        <v>64.28968</v>
      </c>
      <c r="C215" s="316">
        <f t="shared" si="107"/>
        <v>24.87446</v>
      </c>
      <c r="D215" s="316">
        <f t="shared" si="107"/>
        <v>28.24406</v>
      </c>
      <c r="E215" s="316">
        <f t="shared" si="107"/>
        <v>40.3689</v>
      </c>
      <c r="F215" s="316">
        <f t="shared" si="107"/>
        <v>37.09212</v>
      </c>
      <c r="G215" s="316">
        <f t="shared" si="107"/>
        <v>15.29164</v>
      </c>
      <c r="H215" s="316">
        <f t="shared" si="107"/>
        <v>14.9708</v>
      </c>
      <c r="I215" s="316">
        <f t="shared" si="107"/>
        <v>0</v>
      </c>
      <c r="J215" s="316">
        <f t="shared" si="107"/>
        <v>11.78996</v>
      </c>
      <c r="K215" s="316">
        <f t="shared" si="107"/>
        <v>12.56216</v>
      </c>
      <c r="L215" s="316">
        <f t="shared" si="107"/>
        <v>0</v>
      </c>
      <c r="M215" s="316">
        <f t="shared" si="107"/>
        <v>14.8954</v>
      </c>
      <c r="N215" s="316">
        <f t="shared" si="107"/>
        <v>0.39234</v>
      </c>
      <c r="O215" s="316">
        <f t="shared" si="107"/>
        <v>21.91462</v>
      </c>
      <c r="P215" s="316">
        <f t="shared" si="107"/>
        <v>5.28242</v>
      </c>
      <c r="Q215" s="316">
        <f t="shared" si="107"/>
        <v>2.58882</v>
      </c>
      <c r="R215" s="316">
        <f t="shared" si="107"/>
        <v>7.55456</v>
      </c>
      <c r="S215" s="316">
        <f t="shared" si="107"/>
        <v>0</v>
      </c>
      <c r="T215" s="316">
        <f t="shared" si="107"/>
        <v>0</v>
      </c>
      <c r="U215" s="316">
        <f t="shared" si="107"/>
        <v>0</v>
      </c>
      <c r="V215" s="316">
        <f t="shared" si="107"/>
        <v>0</v>
      </c>
      <c r="W215" s="316">
        <f t="shared" si="107"/>
        <v>0</v>
      </c>
      <c r="X215" s="316">
        <f t="shared" si="107"/>
        <v>0</v>
      </c>
      <c r="Y215" s="316">
        <f t="shared" si="107"/>
        <v>0</v>
      </c>
      <c r="Z215" s="316">
        <f t="shared" si="107"/>
        <v>0</v>
      </c>
      <c r="AA215" s="316">
        <f t="shared" si="107"/>
        <v>0</v>
      </c>
      <c r="AB215" s="316">
        <f t="shared" si="107"/>
        <v>0</v>
      </c>
      <c r="AC215" s="316">
        <f t="shared" si="107"/>
        <v>0</v>
      </c>
      <c r="AD215" s="316">
        <f t="shared" si="107"/>
        <v>0</v>
      </c>
      <c r="AE215" s="316">
        <f t="shared" si="107"/>
        <v>0</v>
      </c>
      <c r="AF215" s="317">
        <f t="shared" si="107"/>
        <v>0</v>
      </c>
      <c r="AG215" s="24"/>
    </row>
    <row r="216">
      <c r="A216" s="313" t="s">
        <v>241</v>
      </c>
      <c r="B216" s="316">
        <f t="shared" ref="B216:AF216" si="108">(B43/B14)*B8</f>
        <v>2.1</v>
      </c>
      <c r="C216" s="316">
        <f t="shared" si="108"/>
        <v>2.1</v>
      </c>
      <c r="D216" s="316">
        <f t="shared" si="108"/>
        <v>1.2</v>
      </c>
      <c r="E216" s="316">
        <f t="shared" si="108"/>
        <v>2.1</v>
      </c>
      <c r="F216" s="316">
        <f t="shared" si="108"/>
        <v>2.7</v>
      </c>
      <c r="G216" s="316">
        <f t="shared" si="108"/>
        <v>0.6</v>
      </c>
      <c r="H216" s="316">
        <f t="shared" si="108"/>
        <v>0.6</v>
      </c>
      <c r="I216" s="316">
        <f t="shared" si="108"/>
        <v>0</v>
      </c>
      <c r="J216" s="316">
        <f t="shared" si="108"/>
        <v>0.6</v>
      </c>
      <c r="K216" s="316">
        <f t="shared" si="108"/>
        <v>0.9</v>
      </c>
      <c r="L216" s="316">
        <f t="shared" si="108"/>
        <v>0</v>
      </c>
      <c r="M216" s="316">
        <f t="shared" si="108"/>
        <v>0.6</v>
      </c>
      <c r="N216" s="316">
        <f t="shared" si="108"/>
        <v>0.3</v>
      </c>
      <c r="O216" s="316">
        <f t="shared" si="108"/>
        <v>1.2</v>
      </c>
      <c r="P216" s="316">
        <f t="shared" si="108"/>
        <v>0.3</v>
      </c>
      <c r="Q216" s="316">
        <f t="shared" si="108"/>
        <v>0.3</v>
      </c>
      <c r="R216" s="316">
        <f t="shared" si="108"/>
        <v>0.3</v>
      </c>
      <c r="S216" s="316">
        <f t="shared" si="108"/>
        <v>0</v>
      </c>
      <c r="T216" s="316">
        <f t="shared" si="108"/>
        <v>0</v>
      </c>
      <c r="U216" s="316">
        <f t="shared" si="108"/>
        <v>0</v>
      </c>
      <c r="V216" s="316">
        <f t="shared" si="108"/>
        <v>0</v>
      </c>
      <c r="W216" s="316">
        <f t="shared" si="108"/>
        <v>0</v>
      </c>
      <c r="X216" s="316">
        <f t="shared" si="108"/>
        <v>0</v>
      </c>
      <c r="Y216" s="316">
        <f t="shared" si="108"/>
        <v>0</v>
      </c>
      <c r="Z216" s="316">
        <f t="shared" si="108"/>
        <v>0</v>
      </c>
      <c r="AA216" s="316">
        <f t="shared" si="108"/>
        <v>0</v>
      </c>
      <c r="AB216" s="316">
        <f t="shared" si="108"/>
        <v>0</v>
      </c>
      <c r="AC216" s="316">
        <f t="shared" si="108"/>
        <v>0</v>
      </c>
      <c r="AD216" s="316">
        <f t="shared" si="108"/>
        <v>0</v>
      </c>
      <c r="AE216" s="316">
        <f t="shared" si="108"/>
        <v>0</v>
      </c>
      <c r="AF216" s="317">
        <f t="shared" si="108"/>
        <v>0</v>
      </c>
      <c r="AG216" s="24"/>
    </row>
    <row r="217">
      <c r="A217" s="313" t="s">
        <v>428</v>
      </c>
      <c r="B217" s="316">
        <f t="shared" ref="B217:AF217" si="109">85*B8</f>
        <v>595</v>
      </c>
      <c r="C217" s="316">
        <f t="shared" si="109"/>
        <v>595</v>
      </c>
      <c r="D217" s="316">
        <f t="shared" si="109"/>
        <v>340</v>
      </c>
      <c r="E217" s="316">
        <f t="shared" si="109"/>
        <v>595</v>
      </c>
      <c r="F217" s="316">
        <f t="shared" si="109"/>
        <v>765</v>
      </c>
      <c r="G217" s="316">
        <f t="shared" si="109"/>
        <v>170</v>
      </c>
      <c r="H217" s="316">
        <f t="shared" si="109"/>
        <v>170</v>
      </c>
      <c r="I217" s="316">
        <f t="shared" si="109"/>
        <v>0</v>
      </c>
      <c r="J217" s="316">
        <f t="shared" si="109"/>
        <v>170</v>
      </c>
      <c r="K217" s="316">
        <f t="shared" si="109"/>
        <v>255</v>
      </c>
      <c r="L217" s="316">
        <f t="shared" si="109"/>
        <v>0</v>
      </c>
      <c r="M217" s="316">
        <f t="shared" si="109"/>
        <v>170</v>
      </c>
      <c r="N217" s="316">
        <f t="shared" si="109"/>
        <v>85</v>
      </c>
      <c r="O217" s="316">
        <f t="shared" si="109"/>
        <v>340</v>
      </c>
      <c r="P217" s="316">
        <f t="shared" si="109"/>
        <v>85</v>
      </c>
      <c r="Q217" s="316">
        <f t="shared" si="109"/>
        <v>85</v>
      </c>
      <c r="R217" s="316">
        <f t="shared" si="109"/>
        <v>85</v>
      </c>
      <c r="S217" s="316">
        <f t="shared" si="109"/>
        <v>0</v>
      </c>
      <c r="T217" s="316">
        <f t="shared" si="109"/>
        <v>0</v>
      </c>
      <c r="U217" s="316">
        <f t="shared" si="109"/>
        <v>0</v>
      </c>
      <c r="V217" s="316">
        <f t="shared" si="109"/>
        <v>0</v>
      </c>
      <c r="W217" s="316">
        <f t="shared" si="109"/>
        <v>0</v>
      </c>
      <c r="X217" s="316">
        <f t="shared" si="109"/>
        <v>0</v>
      </c>
      <c r="Y217" s="316">
        <f t="shared" si="109"/>
        <v>0</v>
      </c>
      <c r="Z217" s="316">
        <f t="shared" si="109"/>
        <v>0</v>
      </c>
      <c r="AA217" s="316">
        <f t="shared" si="109"/>
        <v>0</v>
      </c>
      <c r="AB217" s="316">
        <f t="shared" si="109"/>
        <v>0</v>
      </c>
      <c r="AC217" s="316">
        <f t="shared" si="109"/>
        <v>0</v>
      </c>
      <c r="AD217" s="316">
        <f t="shared" si="109"/>
        <v>0</v>
      </c>
      <c r="AE217" s="316">
        <f t="shared" si="109"/>
        <v>0</v>
      </c>
      <c r="AF217" s="317">
        <f t="shared" si="109"/>
        <v>0</v>
      </c>
      <c r="AG217" s="24"/>
    </row>
    <row r="218">
      <c r="A218" s="313" t="s">
        <v>296</v>
      </c>
      <c r="B218" s="316">
        <f t="shared" ref="B218:AF218" si="110">10*B8</f>
        <v>70</v>
      </c>
      <c r="C218" s="316">
        <f t="shared" si="110"/>
        <v>70</v>
      </c>
      <c r="D218" s="316">
        <f t="shared" si="110"/>
        <v>40</v>
      </c>
      <c r="E218" s="316">
        <f t="shared" si="110"/>
        <v>70</v>
      </c>
      <c r="F218" s="316">
        <f t="shared" si="110"/>
        <v>90</v>
      </c>
      <c r="G218" s="316">
        <f t="shared" si="110"/>
        <v>20</v>
      </c>
      <c r="H218" s="316">
        <f t="shared" si="110"/>
        <v>20</v>
      </c>
      <c r="I218" s="316">
        <f t="shared" si="110"/>
        <v>0</v>
      </c>
      <c r="J218" s="316">
        <f t="shared" si="110"/>
        <v>20</v>
      </c>
      <c r="K218" s="316">
        <f t="shared" si="110"/>
        <v>30</v>
      </c>
      <c r="L218" s="316">
        <f t="shared" si="110"/>
        <v>0</v>
      </c>
      <c r="M218" s="316">
        <f t="shared" si="110"/>
        <v>20</v>
      </c>
      <c r="N218" s="316">
        <f t="shared" si="110"/>
        <v>10</v>
      </c>
      <c r="O218" s="316">
        <f t="shared" si="110"/>
        <v>40</v>
      </c>
      <c r="P218" s="316">
        <f t="shared" si="110"/>
        <v>10</v>
      </c>
      <c r="Q218" s="316">
        <f t="shared" si="110"/>
        <v>10</v>
      </c>
      <c r="R218" s="316">
        <f t="shared" si="110"/>
        <v>10</v>
      </c>
      <c r="S218" s="316">
        <f t="shared" si="110"/>
        <v>0</v>
      </c>
      <c r="T218" s="316">
        <f t="shared" si="110"/>
        <v>0</v>
      </c>
      <c r="U218" s="316">
        <f t="shared" si="110"/>
        <v>0</v>
      </c>
      <c r="V218" s="316">
        <f t="shared" si="110"/>
        <v>0</v>
      </c>
      <c r="W218" s="316">
        <f t="shared" si="110"/>
        <v>0</v>
      </c>
      <c r="X218" s="316">
        <f t="shared" si="110"/>
        <v>0</v>
      </c>
      <c r="Y218" s="316">
        <f t="shared" si="110"/>
        <v>0</v>
      </c>
      <c r="Z218" s="316">
        <f t="shared" si="110"/>
        <v>0</v>
      </c>
      <c r="AA218" s="316">
        <f t="shared" si="110"/>
        <v>0</v>
      </c>
      <c r="AB218" s="316">
        <f t="shared" si="110"/>
        <v>0</v>
      </c>
      <c r="AC218" s="316">
        <f t="shared" si="110"/>
        <v>0</v>
      </c>
      <c r="AD218" s="316">
        <f t="shared" si="110"/>
        <v>0</v>
      </c>
      <c r="AE218" s="316">
        <f t="shared" si="110"/>
        <v>0</v>
      </c>
      <c r="AF218" s="317">
        <f t="shared" si="110"/>
        <v>0</v>
      </c>
      <c r="AG218" s="24"/>
    </row>
    <row r="219">
      <c r="A219" s="313"/>
      <c r="B219" s="313"/>
      <c r="C219" s="313"/>
      <c r="D219" s="313"/>
      <c r="E219" s="313"/>
      <c r="F219" s="313"/>
      <c r="G219" s="313"/>
      <c r="H219" s="313"/>
      <c r="I219" s="313"/>
      <c r="J219" s="313"/>
      <c r="K219" s="313"/>
      <c r="L219" s="313"/>
      <c r="M219" s="313"/>
      <c r="N219" s="313"/>
      <c r="O219" s="313"/>
      <c r="P219" s="313"/>
      <c r="Q219" s="313"/>
      <c r="R219" s="313"/>
      <c r="S219" s="313"/>
      <c r="T219" s="313"/>
      <c r="U219" s="313"/>
      <c r="V219" s="313"/>
      <c r="W219" s="313"/>
      <c r="X219" s="313"/>
      <c r="Y219" s="313"/>
      <c r="Z219" s="313"/>
      <c r="AA219" s="313"/>
      <c r="AB219" s="313"/>
      <c r="AC219" s="313"/>
      <c r="AD219" s="313"/>
      <c r="AE219" s="313"/>
      <c r="AF219" s="318"/>
      <c r="AG219" s="24"/>
    </row>
    <row r="220">
      <c r="A220" s="24" t="s">
        <v>432</v>
      </c>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c r="AA220" s="134"/>
      <c r="AB220" s="134"/>
      <c r="AC220" s="134"/>
      <c r="AD220" s="134"/>
      <c r="AE220" s="134"/>
      <c r="AF220" s="135"/>
      <c r="AG220" s="24"/>
    </row>
    <row r="221">
      <c r="A221" s="313" t="s">
        <v>416</v>
      </c>
      <c r="B221" s="314"/>
      <c r="C221" s="314"/>
      <c r="D221" s="314"/>
      <c r="E221" s="314"/>
      <c r="F221" s="314"/>
      <c r="G221" s="314"/>
      <c r="H221" s="314"/>
      <c r="I221" s="314"/>
      <c r="J221" s="314"/>
      <c r="K221" s="314"/>
      <c r="L221" s="314"/>
      <c r="M221" s="314"/>
      <c r="N221" s="314"/>
      <c r="O221" s="314"/>
      <c r="P221" s="314"/>
      <c r="Q221" s="314"/>
      <c r="R221" s="314"/>
      <c r="S221" s="314"/>
      <c r="T221" s="314"/>
      <c r="U221" s="314"/>
      <c r="V221" s="314"/>
      <c r="W221" s="314"/>
      <c r="X221" s="314"/>
      <c r="Y221" s="314"/>
      <c r="Z221" s="314"/>
      <c r="AA221" s="314"/>
      <c r="AB221" s="314"/>
      <c r="AC221" s="314"/>
      <c r="AD221" s="314"/>
      <c r="AE221" s="314"/>
      <c r="AF221" s="315"/>
      <c r="AG221" s="24"/>
    </row>
    <row r="222">
      <c r="A222" s="313" t="s">
        <v>238</v>
      </c>
      <c r="B222" s="316">
        <f t="shared" ref="B222:AF222" si="111">(B42/B26)*B21</f>
        <v>168.7309</v>
      </c>
      <c r="C222" s="316">
        <f t="shared" si="111"/>
        <v>113.10026</v>
      </c>
      <c r="D222" s="316">
        <f t="shared" si="111"/>
        <v>174.42698</v>
      </c>
      <c r="E222" s="316">
        <f t="shared" si="111"/>
        <v>133.1967</v>
      </c>
      <c r="F222" s="316">
        <f t="shared" si="111"/>
        <v>73.69986</v>
      </c>
      <c r="G222" s="316">
        <f t="shared" si="111"/>
        <v>96.51434</v>
      </c>
      <c r="H222" s="316">
        <f t="shared" si="111"/>
        <v>91.7254</v>
      </c>
      <c r="I222" s="316">
        <f t="shared" si="111"/>
        <v>91.08892</v>
      </c>
      <c r="J222" s="316">
        <f t="shared" si="111"/>
        <v>68.37324</v>
      </c>
      <c r="K222" s="316">
        <f t="shared" si="111"/>
        <v>45.63884</v>
      </c>
      <c r="L222" s="316">
        <f t="shared" si="111"/>
        <v>16.93016</v>
      </c>
      <c r="M222" s="316">
        <f t="shared" si="111"/>
        <v>23.02196</v>
      </c>
      <c r="N222" s="316">
        <f t="shared" si="111"/>
        <v>70.68204</v>
      </c>
      <c r="O222" s="316">
        <f t="shared" si="111"/>
        <v>28.98688</v>
      </c>
      <c r="P222" s="316">
        <f t="shared" si="111"/>
        <v>55.6647</v>
      </c>
      <c r="Q222" s="316">
        <f t="shared" si="111"/>
        <v>56.74084</v>
      </c>
      <c r="R222" s="316">
        <f t="shared" si="111"/>
        <v>28.34962</v>
      </c>
      <c r="S222" s="316">
        <f t="shared" si="111"/>
        <v>44.91032</v>
      </c>
      <c r="T222" s="316">
        <f t="shared" si="111"/>
        <v>22.33114</v>
      </c>
      <c r="U222" s="316">
        <f t="shared" si="111"/>
        <v>76.78086</v>
      </c>
      <c r="V222" s="316">
        <f t="shared" si="111"/>
        <v>63.79178</v>
      </c>
      <c r="W222" s="316">
        <f t="shared" si="111"/>
        <v>64.5424</v>
      </c>
      <c r="X222" s="316">
        <f t="shared" si="111"/>
        <v>62.76374</v>
      </c>
      <c r="Y222" s="316">
        <f t="shared" si="111"/>
        <v>40.65386</v>
      </c>
      <c r="Z222" s="316">
        <f t="shared" si="111"/>
        <v>12.12692</v>
      </c>
      <c r="AA222" s="316">
        <f t="shared" si="111"/>
        <v>84.27978</v>
      </c>
      <c r="AB222" s="316">
        <f t="shared" si="111"/>
        <v>90.24132</v>
      </c>
      <c r="AC222" s="316">
        <f t="shared" si="111"/>
        <v>63.99978</v>
      </c>
      <c r="AD222" s="316">
        <f t="shared" si="111"/>
        <v>90.45972</v>
      </c>
      <c r="AE222" s="316">
        <f t="shared" si="111"/>
        <v>128.95506</v>
      </c>
      <c r="AF222" s="317">
        <f t="shared" si="111"/>
        <v>28.79864</v>
      </c>
      <c r="AG222" s="24"/>
    </row>
    <row r="223">
      <c r="A223" s="313" t="s">
        <v>241</v>
      </c>
      <c r="B223" s="316">
        <f t="shared" ref="B223:AF223" si="112">(B43/B14)*B9</f>
        <v>7.8</v>
      </c>
      <c r="C223" s="316">
        <f t="shared" si="112"/>
        <v>5.1</v>
      </c>
      <c r="D223" s="316">
        <f t="shared" si="112"/>
        <v>5.7</v>
      </c>
      <c r="E223" s="316">
        <f t="shared" si="112"/>
        <v>6.6</v>
      </c>
      <c r="F223" s="316">
        <f t="shared" si="112"/>
        <v>3</v>
      </c>
      <c r="G223" s="316">
        <f t="shared" si="112"/>
        <v>4.5</v>
      </c>
      <c r="H223" s="316">
        <f t="shared" si="112"/>
        <v>4.5</v>
      </c>
      <c r="I223" s="316">
        <f t="shared" si="112"/>
        <v>4.2</v>
      </c>
      <c r="J223" s="316">
        <f t="shared" si="112"/>
        <v>3.3</v>
      </c>
      <c r="K223" s="316">
        <f t="shared" si="112"/>
        <v>2.1</v>
      </c>
      <c r="L223" s="316">
        <f t="shared" si="112"/>
        <v>0.9</v>
      </c>
      <c r="M223" s="316">
        <f t="shared" si="112"/>
        <v>1.2</v>
      </c>
      <c r="N223" s="316">
        <f t="shared" si="112"/>
        <v>2.7</v>
      </c>
      <c r="O223" s="316">
        <f t="shared" si="112"/>
        <v>1.2</v>
      </c>
      <c r="P223" s="316">
        <f t="shared" si="112"/>
        <v>3</v>
      </c>
      <c r="Q223" s="316">
        <f t="shared" si="112"/>
        <v>2.4</v>
      </c>
      <c r="R223" s="316">
        <f t="shared" si="112"/>
        <v>1.2</v>
      </c>
      <c r="S223" s="316">
        <f t="shared" si="112"/>
        <v>2.1</v>
      </c>
      <c r="T223" s="316">
        <f t="shared" si="112"/>
        <v>1.2</v>
      </c>
      <c r="U223" s="316">
        <f t="shared" si="112"/>
        <v>3.3</v>
      </c>
      <c r="V223" s="316">
        <f t="shared" si="112"/>
        <v>3.3</v>
      </c>
      <c r="W223" s="316">
        <f t="shared" si="112"/>
        <v>4.5</v>
      </c>
      <c r="X223" s="316">
        <f t="shared" si="112"/>
        <v>3</v>
      </c>
      <c r="Y223" s="316">
        <f t="shared" si="112"/>
        <v>1.5</v>
      </c>
      <c r="Z223" s="316">
        <f t="shared" si="112"/>
        <v>4.5</v>
      </c>
      <c r="AA223" s="316">
        <f t="shared" si="112"/>
        <v>3.9</v>
      </c>
      <c r="AB223" s="316">
        <f t="shared" si="112"/>
        <v>3</v>
      </c>
      <c r="AC223" s="316">
        <f t="shared" si="112"/>
        <v>4.2</v>
      </c>
      <c r="AD223" s="316">
        <f t="shared" si="112"/>
        <v>3</v>
      </c>
      <c r="AE223" s="316">
        <f t="shared" si="112"/>
        <v>0.6</v>
      </c>
      <c r="AF223" s="317">
        <f t="shared" si="112"/>
        <v>2.1</v>
      </c>
      <c r="AG223" s="24"/>
    </row>
    <row r="224">
      <c r="A224" s="313" t="s">
        <v>428</v>
      </c>
      <c r="B224" s="316">
        <f t="shared" ref="B224:AF224" si="113">85*B9</f>
        <v>2210</v>
      </c>
      <c r="C224" s="316">
        <f t="shared" si="113"/>
        <v>1445</v>
      </c>
      <c r="D224" s="316">
        <f t="shared" si="113"/>
        <v>1615</v>
      </c>
      <c r="E224" s="316">
        <f t="shared" si="113"/>
        <v>1870</v>
      </c>
      <c r="F224" s="316">
        <f t="shared" si="113"/>
        <v>850</v>
      </c>
      <c r="G224" s="316">
        <f t="shared" si="113"/>
        <v>1275</v>
      </c>
      <c r="H224" s="316">
        <f t="shared" si="113"/>
        <v>1275</v>
      </c>
      <c r="I224" s="316">
        <f t="shared" si="113"/>
        <v>1190</v>
      </c>
      <c r="J224" s="316">
        <f t="shared" si="113"/>
        <v>935</v>
      </c>
      <c r="K224" s="316">
        <f t="shared" si="113"/>
        <v>595</v>
      </c>
      <c r="L224" s="316">
        <f t="shared" si="113"/>
        <v>255</v>
      </c>
      <c r="M224" s="316">
        <f t="shared" si="113"/>
        <v>340</v>
      </c>
      <c r="N224" s="316">
        <f t="shared" si="113"/>
        <v>765</v>
      </c>
      <c r="O224" s="316">
        <f t="shared" si="113"/>
        <v>340</v>
      </c>
      <c r="P224" s="316">
        <f t="shared" si="113"/>
        <v>850</v>
      </c>
      <c r="Q224" s="316">
        <f t="shared" si="113"/>
        <v>680</v>
      </c>
      <c r="R224" s="316">
        <f t="shared" si="113"/>
        <v>340</v>
      </c>
      <c r="S224" s="316">
        <f t="shared" si="113"/>
        <v>595</v>
      </c>
      <c r="T224" s="316">
        <f t="shared" si="113"/>
        <v>340</v>
      </c>
      <c r="U224" s="316">
        <f t="shared" si="113"/>
        <v>935</v>
      </c>
      <c r="V224" s="316">
        <f t="shared" si="113"/>
        <v>935</v>
      </c>
      <c r="W224" s="316">
        <f t="shared" si="113"/>
        <v>1275</v>
      </c>
      <c r="X224" s="316">
        <f t="shared" si="113"/>
        <v>850</v>
      </c>
      <c r="Y224" s="316">
        <f t="shared" si="113"/>
        <v>425</v>
      </c>
      <c r="Z224" s="316">
        <f t="shared" si="113"/>
        <v>1275</v>
      </c>
      <c r="AA224" s="316">
        <f t="shared" si="113"/>
        <v>1105</v>
      </c>
      <c r="AB224" s="316">
        <f t="shared" si="113"/>
        <v>850</v>
      </c>
      <c r="AC224" s="316">
        <f t="shared" si="113"/>
        <v>1190</v>
      </c>
      <c r="AD224" s="316">
        <f t="shared" si="113"/>
        <v>850</v>
      </c>
      <c r="AE224" s="316">
        <f t="shared" si="113"/>
        <v>170</v>
      </c>
      <c r="AF224" s="317">
        <f t="shared" si="113"/>
        <v>595</v>
      </c>
      <c r="AG224" s="24"/>
    </row>
    <row r="225">
      <c r="A225" s="313" t="s">
        <v>296</v>
      </c>
      <c r="B225" s="316">
        <f t="shared" ref="B225:AF225" si="114">10*B9</f>
        <v>260</v>
      </c>
      <c r="C225" s="316">
        <f t="shared" si="114"/>
        <v>170</v>
      </c>
      <c r="D225" s="316">
        <f t="shared" si="114"/>
        <v>190</v>
      </c>
      <c r="E225" s="316">
        <f t="shared" si="114"/>
        <v>220</v>
      </c>
      <c r="F225" s="316">
        <f t="shared" si="114"/>
        <v>100</v>
      </c>
      <c r="G225" s="316">
        <f t="shared" si="114"/>
        <v>150</v>
      </c>
      <c r="H225" s="316">
        <f t="shared" si="114"/>
        <v>150</v>
      </c>
      <c r="I225" s="316">
        <f t="shared" si="114"/>
        <v>140</v>
      </c>
      <c r="J225" s="316">
        <f t="shared" si="114"/>
        <v>110</v>
      </c>
      <c r="K225" s="316">
        <f t="shared" si="114"/>
        <v>70</v>
      </c>
      <c r="L225" s="316">
        <f t="shared" si="114"/>
        <v>30</v>
      </c>
      <c r="M225" s="316">
        <f t="shared" si="114"/>
        <v>40</v>
      </c>
      <c r="N225" s="316">
        <f t="shared" si="114"/>
        <v>90</v>
      </c>
      <c r="O225" s="316">
        <f t="shared" si="114"/>
        <v>40</v>
      </c>
      <c r="P225" s="316">
        <f t="shared" si="114"/>
        <v>100</v>
      </c>
      <c r="Q225" s="316">
        <f t="shared" si="114"/>
        <v>80</v>
      </c>
      <c r="R225" s="316">
        <f t="shared" si="114"/>
        <v>40</v>
      </c>
      <c r="S225" s="316">
        <f t="shared" si="114"/>
        <v>70</v>
      </c>
      <c r="T225" s="316">
        <f t="shared" si="114"/>
        <v>40</v>
      </c>
      <c r="U225" s="316">
        <f t="shared" si="114"/>
        <v>110</v>
      </c>
      <c r="V225" s="316">
        <f t="shared" si="114"/>
        <v>110</v>
      </c>
      <c r="W225" s="316">
        <f t="shared" si="114"/>
        <v>150</v>
      </c>
      <c r="X225" s="316">
        <f t="shared" si="114"/>
        <v>100</v>
      </c>
      <c r="Y225" s="316">
        <f t="shared" si="114"/>
        <v>50</v>
      </c>
      <c r="Z225" s="316">
        <f t="shared" si="114"/>
        <v>150</v>
      </c>
      <c r="AA225" s="316">
        <f t="shared" si="114"/>
        <v>130</v>
      </c>
      <c r="AB225" s="316">
        <f t="shared" si="114"/>
        <v>100</v>
      </c>
      <c r="AC225" s="316">
        <f t="shared" si="114"/>
        <v>140</v>
      </c>
      <c r="AD225" s="316">
        <f t="shared" si="114"/>
        <v>100</v>
      </c>
      <c r="AE225" s="316">
        <f t="shared" si="114"/>
        <v>20</v>
      </c>
      <c r="AF225" s="317">
        <f t="shared" si="114"/>
        <v>70</v>
      </c>
      <c r="AG225" s="24"/>
    </row>
    <row r="226">
      <c r="A226" s="2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c r="AA226" s="134"/>
      <c r="AB226" s="134"/>
      <c r="AC226" s="134"/>
      <c r="AD226" s="134"/>
      <c r="AE226" s="134"/>
      <c r="AF226" s="135"/>
      <c r="AG226" s="24"/>
    </row>
    <row r="227">
      <c r="A227" s="110" t="s">
        <v>433</v>
      </c>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c r="AA227" s="134"/>
      <c r="AB227" s="134"/>
      <c r="AC227" s="134"/>
      <c r="AD227" s="134"/>
      <c r="AE227" s="134"/>
      <c r="AF227" s="135"/>
      <c r="AG227" s="24"/>
    </row>
    <row r="228">
      <c r="A228" s="313" t="s">
        <v>416</v>
      </c>
      <c r="B228" s="314"/>
      <c r="C228" s="314"/>
      <c r="D228" s="314"/>
      <c r="E228" s="314"/>
      <c r="F228" s="314"/>
      <c r="G228" s="314"/>
      <c r="H228" s="314"/>
      <c r="I228" s="314"/>
      <c r="J228" s="314"/>
      <c r="K228" s="314"/>
      <c r="L228" s="314"/>
      <c r="M228" s="314"/>
      <c r="N228" s="314"/>
      <c r="O228" s="314"/>
      <c r="P228" s="314"/>
      <c r="Q228" s="314"/>
      <c r="R228" s="314"/>
      <c r="S228" s="314"/>
      <c r="T228" s="314"/>
      <c r="U228" s="314"/>
      <c r="V228" s="314"/>
      <c r="W228" s="314"/>
      <c r="X228" s="314"/>
      <c r="Y228" s="314"/>
      <c r="Z228" s="314"/>
      <c r="AA228" s="314"/>
      <c r="AB228" s="314"/>
      <c r="AC228" s="314"/>
      <c r="AD228" s="314"/>
      <c r="AE228" s="314"/>
      <c r="AF228" s="315"/>
      <c r="AG228" s="24"/>
    </row>
    <row r="229">
      <c r="A229" s="313" t="s">
        <v>238</v>
      </c>
      <c r="B229" s="316">
        <f t="shared" ref="B229:AF229" si="115">(B42/B26)*B25</f>
        <v>0</v>
      </c>
      <c r="C229" s="316">
        <f t="shared" si="115"/>
        <v>0</v>
      </c>
      <c r="D229" s="316">
        <f t="shared" si="115"/>
        <v>0</v>
      </c>
      <c r="E229" s="316">
        <f t="shared" si="115"/>
        <v>0</v>
      </c>
      <c r="F229" s="316">
        <f t="shared" si="115"/>
        <v>0</v>
      </c>
      <c r="G229" s="316">
        <f t="shared" si="115"/>
        <v>0</v>
      </c>
      <c r="H229" s="316">
        <f t="shared" si="115"/>
        <v>0</v>
      </c>
      <c r="I229" s="316">
        <f t="shared" si="115"/>
        <v>0</v>
      </c>
      <c r="J229" s="316">
        <f t="shared" si="115"/>
        <v>0</v>
      </c>
      <c r="K229" s="316">
        <f t="shared" si="115"/>
        <v>4.91166</v>
      </c>
      <c r="L229" s="316">
        <f t="shared" si="115"/>
        <v>0</v>
      </c>
      <c r="M229" s="316">
        <f t="shared" si="115"/>
        <v>4.91218</v>
      </c>
      <c r="N229" s="316">
        <f t="shared" si="115"/>
        <v>0</v>
      </c>
      <c r="O229" s="316">
        <f t="shared" si="115"/>
        <v>6.45762</v>
      </c>
      <c r="P229" s="316">
        <f t="shared" si="115"/>
        <v>13.71136</v>
      </c>
      <c r="Q229" s="316">
        <f t="shared" si="115"/>
        <v>0</v>
      </c>
      <c r="R229" s="316">
        <f t="shared" si="115"/>
        <v>0</v>
      </c>
      <c r="S229" s="316">
        <f t="shared" si="115"/>
        <v>0</v>
      </c>
      <c r="T229" s="316">
        <f t="shared" si="115"/>
        <v>0</v>
      </c>
      <c r="U229" s="316">
        <f t="shared" si="115"/>
        <v>0</v>
      </c>
      <c r="V229" s="316">
        <f t="shared" si="115"/>
        <v>0</v>
      </c>
      <c r="W229" s="316">
        <f t="shared" si="115"/>
        <v>0</v>
      </c>
      <c r="X229" s="316">
        <f t="shared" si="115"/>
        <v>0</v>
      </c>
      <c r="Y229" s="316">
        <f t="shared" si="115"/>
        <v>0</v>
      </c>
      <c r="Z229" s="316">
        <f t="shared" si="115"/>
        <v>0</v>
      </c>
      <c r="AA229" s="316">
        <f t="shared" si="115"/>
        <v>0</v>
      </c>
      <c r="AB229" s="316">
        <f t="shared" si="115"/>
        <v>0</v>
      </c>
      <c r="AC229" s="316">
        <f t="shared" si="115"/>
        <v>0</v>
      </c>
      <c r="AD229" s="316">
        <f t="shared" si="115"/>
        <v>0</v>
      </c>
      <c r="AE229" s="316">
        <f t="shared" si="115"/>
        <v>0</v>
      </c>
      <c r="AF229" s="317">
        <f t="shared" si="115"/>
        <v>0</v>
      </c>
      <c r="AG229" s="24"/>
    </row>
    <row r="230">
      <c r="A230" s="313" t="s">
        <v>241</v>
      </c>
      <c r="B230" s="316">
        <f t="shared" ref="B230:AF230" si="116">(B43/B14)*B13</f>
        <v>0</v>
      </c>
      <c r="C230" s="316">
        <f t="shared" si="116"/>
        <v>0</v>
      </c>
      <c r="D230" s="316">
        <f t="shared" si="116"/>
        <v>0</v>
      </c>
      <c r="E230" s="316">
        <f t="shared" si="116"/>
        <v>0</v>
      </c>
      <c r="F230" s="316">
        <f t="shared" si="116"/>
        <v>0</v>
      </c>
      <c r="G230" s="316">
        <f t="shared" si="116"/>
        <v>0</v>
      </c>
      <c r="H230" s="316">
        <f t="shared" si="116"/>
        <v>0</v>
      </c>
      <c r="I230" s="316">
        <f t="shared" si="116"/>
        <v>0</v>
      </c>
      <c r="J230" s="316">
        <f t="shared" si="116"/>
        <v>0</v>
      </c>
      <c r="K230" s="316">
        <f t="shared" si="116"/>
        <v>0.3</v>
      </c>
      <c r="L230" s="316">
        <f t="shared" si="116"/>
        <v>0</v>
      </c>
      <c r="M230" s="316">
        <f t="shared" si="116"/>
        <v>0.3</v>
      </c>
      <c r="N230" s="316">
        <f t="shared" si="116"/>
        <v>0</v>
      </c>
      <c r="O230" s="316">
        <f t="shared" si="116"/>
        <v>0.3</v>
      </c>
      <c r="P230" s="316">
        <f t="shared" si="116"/>
        <v>0.6</v>
      </c>
      <c r="Q230" s="316">
        <f t="shared" si="116"/>
        <v>0</v>
      </c>
      <c r="R230" s="316">
        <f t="shared" si="116"/>
        <v>0</v>
      </c>
      <c r="S230" s="316">
        <f t="shared" si="116"/>
        <v>0</v>
      </c>
      <c r="T230" s="316">
        <f t="shared" si="116"/>
        <v>0</v>
      </c>
      <c r="U230" s="316">
        <f t="shared" si="116"/>
        <v>0</v>
      </c>
      <c r="V230" s="316">
        <f t="shared" si="116"/>
        <v>0</v>
      </c>
      <c r="W230" s="316">
        <f t="shared" si="116"/>
        <v>0</v>
      </c>
      <c r="X230" s="316">
        <f t="shared" si="116"/>
        <v>0</v>
      </c>
      <c r="Y230" s="316">
        <f t="shared" si="116"/>
        <v>0</v>
      </c>
      <c r="Z230" s="316">
        <f t="shared" si="116"/>
        <v>0</v>
      </c>
      <c r="AA230" s="316">
        <f t="shared" si="116"/>
        <v>0</v>
      </c>
      <c r="AB230" s="316">
        <f t="shared" si="116"/>
        <v>0</v>
      </c>
      <c r="AC230" s="316">
        <f t="shared" si="116"/>
        <v>0</v>
      </c>
      <c r="AD230" s="316">
        <f t="shared" si="116"/>
        <v>0</v>
      </c>
      <c r="AE230" s="316">
        <f t="shared" si="116"/>
        <v>0</v>
      </c>
      <c r="AF230" s="317">
        <f t="shared" si="116"/>
        <v>0</v>
      </c>
      <c r="AG230" s="24"/>
    </row>
    <row r="231">
      <c r="A231" s="313" t="s">
        <v>428</v>
      </c>
      <c r="B231" s="316">
        <f t="shared" ref="B231:AF231" si="117">85*B13</f>
        <v>0</v>
      </c>
      <c r="C231" s="316">
        <f t="shared" si="117"/>
        <v>0</v>
      </c>
      <c r="D231" s="316">
        <f t="shared" si="117"/>
        <v>0</v>
      </c>
      <c r="E231" s="316">
        <f t="shared" si="117"/>
        <v>0</v>
      </c>
      <c r="F231" s="316">
        <f t="shared" si="117"/>
        <v>0</v>
      </c>
      <c r="G231" s="316">
        <f t="shared" si="117"/>
        <v>0</v>
      </c>
      <c r="H231" s="316">
        <f t="shared" si="117"/>
        <v>0</v>
      </c>
      <c r="I231" s="316">
        <f t="shared" si="117"/>
        <v>0</v>
      </c>
      <c r="J231" s="316">
        <f t="shared" si="117"/>
        <v>0</v>
      </c>
      <c r="K231" s="316">
        <f t="shared" si="117"/>
        <v>85</v>
      </c>
      <c r="L231" s="316">
        <f t="shared" si="117"/>
        <v>0</v>
      </c>
      <c r="M231" s="316">
        <f t="shared" si="117"/>
        <v>85</v>
      </c>
      <c r="N231" s="316">
        <f t="shared" si="117"/>
        <v>0</v>
      </c>
      <c r="O231" s="316">
        <f t="shared" si="117"/>
        <v>85</v>
      </c>
      <c r="P231" s="316">
        <f t="shared" si="117"/>
        <v>170</v>
      </c>
      <c r="Q231" s="316">
        <f t="shared" si="117"/>
        <v>0</v>
      </c>
      <c r="R231" s="316">
        <f t="shared" si="117"/>
        <v>0</v>
      </c>
      <c r="S231" s="316">
        <f t="shared" si="117"/>
        <v>0</v>
      </c>
      <c r="T231" s="316">
        <f t="shared" si="117"/>
        <v>0</v>
      </c>
      <c r="U231" s="316">
        <f t="shared" si="117"/>
        <v>0</v>
      </c>
      <c r="V231" s="316">
        <f t="shared" si="117"/>
        <v>0</v>
      </c>
      <c r="W231" s="316">
        <f t="shared" si="117"/>
        <v>0</v>
      </c>
      <c r="X231" s="316">
        <f t="shared" si="117"/>
        <v>0</v>
      </c>
      <c r="Y231" s="316">
        <f t="shared" si="117"/>
        <v>0</v>
      </c>
      <c r="Z231" s="316">
        <f t="shared" si="117"/>
        <v>0</v>
      </c>
      <c r="AA231" s="316">
        <f t="shared" si="117"/>
        <v>0</v>
      </c>
      <c r="AB231" s="316">
        <f t="shared" si="117"/>
        <v>0</v>
      </c>
      <c r="AC231" s="316">
        <f t="shared" si="117"/>
        <v>0</v>
      </c>
      <c r="AD231" s="316">
        <f t="shared" si="117"/>
        <v>0</v>
      </c>
      <c r="AE231" s="316">
        <f t="shared" si="117"/>
        <v>0</v>
      </c>
      <c r="AF231" s="317">
        <f t="shared" si="117"/>
        <v>0</v>
      </c>
      <c r="AG231" s="24"/>
    </row>
    <row r="232">
      <c r="A232" s="313" t="s">
        <v>296</v>
      </c>
      <c r="B232" s="316">
        <f t="shared" ref="B232:AF232" si="118">10*B13</f>
        <v>0</v>
      </c>
      <c r="C232" s="316">
        <f t="shared" si="118"/>
        <v>0</v>
      </c>
      <c r="D232" s="316">
        <f t="shared" si="118"/>
        <v>0</v>
      </c>
      <c r="E232" s="316">
        <f t="shared" si="118"/>
        <v>0</v>
      </c>
      <c r="F232" s="316">
        <f t="shared" si="118"/>
        <v>0</v>
      </c>
      <c r="G232" s="316">
        <f t="shared" si="118"/>
        <v>0</v>
      </c>
      <c r="H232" s="316">
        <f t="shared" si="118"/>
        <v>0</v>
      </c>
      <c r="I232" s="316">
        <f t="shared" si="118"/>
        <v>0</v>
      </c>
      <c r="J232" s="316">
        <f t="shared" si="118"/>
        <v>0</v>
      </c>
      <c r="K232" s="316">
        <f t="shared" si="118"/>
        <v>10</v>
      </c>
      <c r="L232" s="316">
        <f t="shared" si="118"/>
        <v>0</v>
      </c>
      <c r="M232" s="316">
        <f t="shared" si="118"/>
        <v>10</v>
      </c>
      <c r="N232" s="316">
        <f t="shared" si="118"/>
        <v>0</v>
      </c>
      <c r="O232" s="316">
        <f t="shared" si="118"/>
        <v>10</v>
      </c>
      <c r="P232" s="316">
        <f t="shared" si="118"/>
        <v>20</v>
      </c>
      <c r="Q232" s="316">
        <f t="shared" si="118"/>
        <v>0</v>
      </c>
      <c r="R232" s="316">
        <f t="shared" si="118"/>
        <v>0</v>
      </c>
      <c r="S232" s="316">
        <f t="shared" si="118"/>
        <v>0</v>
      </c>
      <c r="T232" s="316">
        <f t="shared" si="118"/>
        <v>0</v>
      </c>
      <c r="U232" s="316">
        <f t="shared" si="118"/>
        <v>0</v>
      </c>
      <c r="V232" s="316">
        <f t="shared" si="118"/>
        <v>0</v>
      </c>
      <c r="W232" s="316">
        <f t="shared" si="118"/>
        <v>0</v>
      </c>
      <c r="X232" s="316">
        <f t="shared" si="118"/>
        <v>0</v>
      </c>
      <c r="Y232" s="316">
        <f t="shared" si="118"/>
        <v>0</v>
      </c>
      <c r="Z232" s="316">
        <f t="shared" si="118"/>
        <v>0</v>
      </c>
      <c r="AA232" s="316">
        <f t="shared" si="118"/>
        <v>0</v>
      </c>
      <c r="AB232" s="316">
        <f t="shared" si="118"/>
        <v>0</v>
      </c>
      <c r="AC232" s="316">
        <f t="shared" si="118"/>
        <v>0</v>
      </c>
      <c r="AD232" s="316">
        <f t="shared" si="118"/>
        <v>0</v>
      </c>
      <c r="AE232" s="316">
        <f t="shared" si="118"/>
        <v>0</v>
      </c>
      <c r="AF232" s="317">
        <f t="shared" si="118"/>
        <v>0</v>
      </c>
      <c r="AG232" s="24"/>
    </row>
    <row r="233">
      <c r="A233" s="313"/>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c r="AA233" s="134"/>
      <c r="AB233" s="134"/>
      <c r="AC233" s="134"/>
      <c r="AD233" s="134"/>
      <c r="AE233" s="134"/>
      <c r="AF233" s="135"/>
      <c r="AG233" s="24"/>
    </row>
    <row r="234">
      <c r="A234" s="24" t="s">
        <v>434</v>
      </c>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c r="AA234" s="134"/>
      <c r="AB234" s="134"/>
      <c r="AC234" s="134"/>
      <c r="AD234" s="134"/>
      <c r="AE234" s="134"/>
      <c r="AF234" s="135"/>
      <c r="AG234" s="24"/>
    </row>
    <row r="235">
      <c r="A235" s="313" t="s">
        <v>416</v>
      </c>
      <c r="B235" s="314"/>
      <c r="C235" s="314"/>
      <c r="D235" s="314"/>
      <c r="E235" s="314"/>
      <c r="F235" s="314"/>
      <c r="G235" s="314"/>
      <c r="H235" s="314"/>
      <c r="I235" s="314"/>
      <c r="J235" s="314"/>
      <c r="K235" s="314"/>
      <c r="L235" s="314"/>
      <c r="M235" s="314"/>
      <c r="N235" s="314"/>
      <c r="O235" s="314"/>
      <c r="P235" s="314"/>
      <c r="Q235" s="314"/>
      <c r="R235" s="314"/>
      <c r="S235" s="314"/>
      <c r="T235" s="314"/>
      <c r="U235" s="314"/>
      <c r="V235" s="314"/>
      <c r="W235" s="314"/>
      <c r="X235" s="314"/>
      <c r="Y235" s="314"/>
      <c r="Z235" s="314"/>
      <c r="AA235" s="314"/>
      <c r="AB235" s="314"/>
      <c r="AC235" s="314"/>
      <c r="AD235" s="314"/>
      <c r="AE235" s="314"/>
      <c r="AF235" s="315"/>
      <c r="AG235" s="24"/>
    </row>
    <row r="236">
      <c r="A236" s="313" t="s">
        <v>238</v>
      </c>
      <c r="B236" s="316">
        <f t="shared" ref="B236:AF236" si="119">(B42/B26)*B22</f>
        <v>0</v>
      </c>
      <c r="C236" s="316">
        <f t="shared" si="119"/>
        <v>0</v>
      </c>
      <c r="D236" s="316">
        <f t="shared" si="119"/>
        <v>0</v>
      </c>
      <c r="E236" s="316">
        <f t="shared" si="119"/>
        <v>0</v>
      </c>
      <c r="F236" s="316">
        <f t="shared" si="119"/>
        <v>0</v>
      </c>
      <c r="G236" s="316">
        <f t="shared" si="119"/>
        <v>0</v>
      </c>
      <c r="H236" s="316">
        <f t="shared" si="119"/>
        <v>0</v>
      </c>
      <c r="I236" s="316">
        <f t="shared" si="119"/>
        <v>0</v>
      </c>
      <c r="J236" s="316">
        <f t="shared" si="119"/>
        <v>0</v>
      </c>
      <c r="K236" s="316">
        <f t="shared" si="119"/>
        <v>0</v>
      </c>
      <c r="L236" s="316">
        <f t="shared" si="119"/>
        <v>0</v>
      </c>
      <c r="M236" s="316">
        <f t="shared" si="119"/>
        <v>0</v>
      </c>
      <c r="N236" s="316">
        <f t="shared" si="119"/>
        <v>0</v>
      </c>
      <c r="O236" s="316">
        <f t="shared" si="119"/>
        <v>0</v>
      </c>
      <c r="P236" s="316">
        <f t="shared" si="119"/>
        <v>0</v>
      </c>
      <c r="Q236" s="316">
        <f t="shared" si="119"/>
        <v>0</v>
      </c>
      <c r="R236" s="316">
        <f t="shared" si="119"/>
        <v>0</v>
      </c>
      <c r="S236" s="316">
        <f t="shared" si="119"/>
        <v>0</v>
      </c>
      <c r="T236" s="316">
        <f t="shared" si="119"/>
        <v>0</v>
      </c>
      <c r="U236" s="316">
        <f t="shared" si="119"/>
        <v>0</v>
      </c>
      <c r="V236" s="316">
        <f t="shared" si="119"/>
        <v>0</v>
      </c>
      <c r="W236" s="316">
        <f t="shared" si="119"/>
        <v>0</v>
      </c>
      <c r="X236" s="316">
        <f t="shared" si="119"/>
        <v>0</v>
      </c>
      <c r="Y236" s="316">
        <f t="shared" si="119"/>
        <v>0</v>
      </c>
      <c r="Z236" s="316">
        <f t="shared" si="119"/>
        <v>0</v>
      </c>
      <c r="AA236" s="316">
        <f t="shared" si="119"/>
        <v>0</v>
      </c>
      <c r="AB236" s="316">
        <f t="shared" si="119"/>
        <v>0</v>
      </c>
      <c r="AC236" s="316">
        <f t="shared" si="119"/>
        <v>0</v>
      </c>
      <c r="AD236" s="316">
        <f t="shared" si="119"/>
        <v>0</v>
      </c>
      <c r="AE236" s="316">
        <f t="shared" si="119"/>
        <v>0</v>
      </c>
      <c r="AF236" s="317">
        <f t="shared" si="119"/>
        <v>0</v>
      </c>
      <c r="AG236" s="24"/>
    </row>
    <row r="237">
      <c r="A237" s="313" t="s">
        <v>241</v>
      </c>
      <c r="B237" s="316">
        <f t="shared" ref="B237:AF237" si="120">(B43/B14)*B10</f>
        <v>0</v>
      </c>
      <c r="C237" s="316">
        <f t="shared" si="120"/>
        <v>0</v>
      </c>
      <c r="D237" s="316">
        <f t="shared" si="120"/>
        <v>0</v>
      </c>
      <c r="E237" s="316">
        <f t="shared" si="120"/>
        <v>0</v>
      </c>
      <c r="F237" s="316">
        <f t="shared" si="120"/>
        <v>0</v>
      </c>
      <c r="G237" s="316">
        <f t="shared" si="120"/>
        <v>0</v>
      </c>
      <c r="H237" s="316">
        <f t="shared" si="120"/>
        <v>0</v>
      </c>
      <c r="I237" s="316">
        <f t="shared" si="120"/>
        <v>0</v>
      </c>
      <c r="J237" s="316">
        <f t="shared" si="120"/>
        <v>0</v>
      </c>
      <c r="K237" s="316">
        <f t="shared" si="120"/>
        <v>0</v>
      </c>
      <c r="L237" s="316">
        <f t="shared" si="120"/>
        <v>0</v>
      </c>
      <c r="M237" s="316">
        <f t="shared" si="120"/>
        <v>0</v>
      </c>
      <c r="N237" s="316">
        <f t="shared" si="120"/>
        <v>0</v>
      </c>
      <c r="O237" s="316">
        <f t="shared" si="120"/>
        <v>0</v>
      </c>
      <c r="P237" s="316">
        <f t="shared" si="120"/>
        <v>0</v>
      </c>
      <c r="Q237" s="316">
        <f t="shared" si="120"/>
        <v>0</v>
      </c>
      <c r="R237" s="316">
        <f t="shared" si="120"/>
        <v>0</v>
      </c>
      <c r="S237" s="316">
        <f t="shared" si="120"/>
        <v>0</v>
      </c>
      <c r="T237" s="316">
        <f t="shared" si="120"/>
        <v>0</v>
      </c>
      <c r="U237" s="316">
        <f t="shared" si="120"/>
        <v>0</v>
      </c>
      <c r="V237" s="316">
        <f t="shared" si="120"/>
        <v>0</v>
      </c>
      <c r="W237" s="316">
        <f t="shared" si="120"/>
        <v>0</v>
      </c>
      <c r="X237" s="316">
        <f t="shared" si="120"/>
        <v>0</v>
      </c>
      <c r="Y237" s="316">
        <f t="shared" si="120"/>
        <v>0</v>
      </c>
      <c r="Z237" s="316">
        <f t="shared" si="120"/>
        <v>0</v>
      </c>
      <c r="AA237" s="316">
        <f t="shared" si="120"/>
        <v>0</v>
      </c>
      <c r="AB237" s="316">
        <f t="shared" si="120"/>
        <v>0</v>
      </c>
      <c r="AC237" s="316">
        <f t="shared" si="120"/>
        <v>0</v>
      </c>
      <c r="AD237" s="316">
        <f t="shared" si="120"/>
        <v>0</v>
      </c>
      <c r="AE237" s="316">
        <f t="shared" si="120"/>
        <v>0</v>
      </c>
      <c r="AF237" s="317">
        <f t="shared" si="120"/>
        <v>0</v>
      </c>
      <c r="AG237" s="24"/>
    </row>
    <row r="238">
      <c r="A238" s="313" t="s">
        <v>428</v>
      </c>
      <c r="B238" s="316">
        <f t="shared" ref="B238:AF238" si="121">85*B10</f>
        <v>0</v>
      </c>
      <c r="C238" s="316">
        <f t="shared" si="121"/>
        <v>0</v>
      </c>
      <c r="D238" s="316">
        <f t="shared" si="121"/>
        <v>0</v>
      </c>
      <c r="E238" s="316">
        <f t="shared" si="121"/>
        <v>0</v>
      </c>
      <c r="F238" s="316">
        <f t="shared" si="121"/>
        <v>0</v>
      </c>
      <c r="G238" s="316">
        <f t="shared" si="121"/>
        <v>0</v>
      </c>
      <c r="H238" s="316">
        <f t="shared" si="121"/>
        <v>0</v>
      </c>
      <c r="I238" s="316">
        <f t="shared" si="121"/>
        <v>0</v>
      </c>
      <c r="J238" s="316">
        <f t="shared" si="121"/>
        <v>0</v>
      </c>
      <c r="K238" s="316">
        <f t="shared" si="121"/>
        <v>0</v>
      </c>
      <c r="L238" s="316">
        <f t="shared" si="121"/>
        <v>0</v>
      </c>
      <c r="M238" s="316">
        <f t="shared" si="121"/>
        <v>0</v>
      </c>
      <c r="N238" s="316">
        <f t="shared" si="121"/>
        <v>0</v>
      </c>
      <c r="O238" s="316">
        <f t="shared" si="121"/>
        <v>0</v>
      </c>
      <c r="P238" s="316">
        <f t="shared" si="121"/>
        <v>0</v>
      </c>
      <c r="Q238" s="316">
        <f t="shared" si="121"/>
        <v>0</v>
      </c>
      <c r="R238" s="316">
        <f t="shared" si="121"/>
        <v>0</v>
      </c>
      <c r="S238" s="316">
        <f t="shared" si="121"/>
        <v>0</v>
      </c>
      <c r="T238" s="316">
        <f t="shared" si="121"/>
        <v>0</v>
      </c>
      <c r="U238" s="316">
        <f t="shared" si="121"/>
        <v>0</v>
      </c>
      <c r="V238" s="316">
        <f t="shared" si="121"/>
        <v>0</v>
      </c>
      <c r="W238" s="316">
        <f t="shared" si="121"/>
        <v>0</v>
      </c>
      <c r="X238" s="316">
        <f t="shared" si="121"/>
        <v>0</v>
      </c>
      <c r="Y238" s="316">
        <f t="shared" si="121"/>
        <v>0</v>
      </c>
      <c r="Z238" s="316">
        <f t="shared" si="121"/>
        <v>0</v>
      </c>
      <c r="AA238" s="316">
        <f t="shared" si="121"/>
        <v>0</v>
      </c>
      <c r="AB238" s="316">
        <f t="shared" si="121"/>
        <v>0</v>
      </c>
      <c r="AC238" s="316">
        <f t="shared" si="121"/>
        <v>0</v>
      </c>
      <c r="AD238" s="316">
        <f t="shared" si="121"/>
        <v>0</v>
      </c>
      <c r="AE238" s="316">
        <f t="shared" si="121"/>
        <v>0</v>
      </c>
      <c r="AF238" s="317">
        <f t="shared" si="121"/>
        <v>0</v>
      </c>
      <c r="AG238" s="24"/>
    </row>
    <row r="239">
      <c r="A239" s="313" t="s">
        <v>296</v>
      </c>
      <c r="B239" s="316">
        <f t="shared" ref="B239:AF239" si="122">10*B10</f>
        <v>0</v>
      </c>
      <c r="C239" s="316">
        <f t="shared" si="122"/>
        <v>0</v>
      </c>
      <c r="D239" s="316">
        <f t="shared" si="122"/>
        <v>0</v>
      </c>
      <c r="E239" s="316">
        <f t="shared" si="122"/>
        <v>0</v>
      </c>
      <c r="F239" s="316">
        <f t="shared" si="122"/>
        <v>0</v>
      </c>
      <c r="G239" s="316">
        <f t="shared" si="122"/>
        <v>0</v>
      </c>
      <c r="H239" s="316">
        <f t="shared" si="122"/>
        <v>0</v>
      </c>
      <c r="I239" s="316">
        <f t="shared" si="122"/>
        <v>0</v>
      </c>
      <c r="J239" s="316">
        <f t="shared" si="122"/>
        <v>0</v>
      </c>
      <c r="K239" s="316">
        <f t="shared" si="122"/>
        <v>0</v>
      </c>
      <c r="L239" s="316">
        <f t="shared" si="122"/>
        <v>0</v>
      </c>
      <c r="M239" s="316">
        <f t="shared" si="122"/>
        <v>0</v>
      </c>
      <c r="N239" s="316">
        <f t="shared" si="122"/>
        <v>0</v>
      </c>
      <c r="O239" s="316">
        <f t="shared" si="122"/>
        <v>0</v>
      </c>
      <c r="P239" s="316">
        <f t="shared" si="122"/>
        <v>0</v>
      </c>
      <c r="Q239" s="316">
        <f t="shared" si="122"/>
        <v>0</v>
      </c>
      <c r="R239" s="316">
        <f t="shared" si="122"/>
        <v>0</v>
      </c>
      <c r="S239" s="316">
        <f t="shared" si="122"/>
        <v>0</v>
      </c>
      <c r="T239" s="316">
        <f t="shared" si="122"/>
        <v>0</v>
      </c>
      <c r="U239" s="316">
        <f t="shared" si="122"/>
        <v>0</v>
      </c>
      <c r="V239" s="316">
        <f t="shared" si="122"/>
        <v>0</v>
      </c>
      <c r="W239" s="316">
        <f t="shared" si="122"/>
        <v>0</v>
      </c>
      <c r="X239" s="316">
        <f t="shared" si="122"/>
        <v>0</v>
      </c>
      <c r="Y239" s="316">
        <f t="shared" si="122"/>
        <v>0</v>
      </c>
      <c r="Z239" s="316">
        <f t="shared" si="122"/>
        <v>0</v>
      </c>
      <c r="AA239" s="316">
        <f t="shared" si="122"/>
        <v>0</v>
      </c>
      <c r="AB239" s="316">
        <f t="shared" si="122"/>
        <v>0</v>
      </c>
      <c r="AC239" s="316">
        <f t="shared" si="122"/>
        <v>0</v>
      </c>
      <c r="AD239" s="316">
        <f t="shared" si="122"/>
        <v>0</v>
      </c>
      <c r="AE239" s="316">
        <f t="shared" si="122"/>
        <v>0</v>
      </c>
      <c r="AF239" s="317">
        <f t="shared" si="122"/>
        <v>0</v>
      </c>
      <c r="AG239" s="24"/>
    </row>
    <row r="240">
      <c r="A240" s="313"/>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c r="AA240" s="134"/>
      <c r="AB240" s="134"/>
      <c r="AC240" s="134"/>
      <c r="AD240" s="134"/>
      <c r="AE240" s="134"/>
      <c r="AF240" s="135"/>
      <c r="AG240" s="24"/>
    </row>
    <row r="241">
      <c r="A241" s="24" t="s">
        <v>435</v>
      </c>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c r="AA241" s="134"/>
      <c r="AB241" s="134"/>
      <c r="AC241" s="134"/>
      <c r="AD241" s="134"/>
      <c r="AE241" s="134"/>
      <c r="AF241" s="135"/>
      <c r="AG241" s="24"/>
    </row>
    <row r="242">
      <c r="A242" s="313" t="s">
        <v>416</v>
      </c>
      <c r="B242" s="314"/>
      <c r="C242" s="314"/>
      <c r="D242" s="314"/>
      <c r="E242" s="314"/>
      <c r="F242" s="314"/>
      <c r="G242" s="314"/>
      <c r="H242" s="314"/>
      <c r="I242" s="314"/>
      <c r="J242" s="314"/>
      <c r="K242" s="314"/>
      <c r="L242" s="314"/>
      <c r="M242" s="314"/>
      <c r="N242" s="314"/>
      <c r="O242" s="314"/>
      <c r="P242" s="314"/>
      <c r="Q242" s="314"/>
      <c r="R242" s="314"/>
      <c r="S242" s="314"/>
      <c r="T242" s="314"/>
      <c r="U242" s="314"/>
      <c r="V242" s="314"/>
      <c r="W242" s="314"/>
      <c r="X242" s="314"/>
      <c r="Y242" s="314"/>
      <c r="Z242" s="314"/>
      <c r="AA242" s="314"/>
      <c r="AB242" s="314"/>
      <c r="AC242" s="314"/>
      <c r="AD242" s="314"/>
      <c r="AE242" s="314"/>
      <c r="AF242" s="315"/>
      <c r="AG242" s="24"/>
    </row>
    <row r="243">
      <c r="A243" s="313" t="s">
        <v>238</v>
      </c>
      <c r="B243" s="316">
        <f t="shared" ref="B243:AF243" si="123">(B42/B26)*B23</f>
        <v>0</v>
      </c>
      <c r="C243" s="316">
        <f t="shared" si="123"/>
        <v>6.136</v>
      </c>
      <c r="D243" s="316">
        <f t="shared" si="123"/>
        <v>0</v>
      </c>
      <c r="E243" s="316">
        <f t="shared" si="123"/>
        <v>5.356</v>
      </c>
      <c r="F243" s="316">
        <f t="shared" si="123"/>
        <v>0</v>
      </c>
      <c r="G243" s="316">
        <f t="shared" si="123"/>
        <v>0</v>
      </c>
      <c r="H243" s="316">
        <f t="shared" si="123"/>
        <v>5.356</v>
      </c>
      <c r="I243" s="316">
        <f t="shared" si="123"/>
        <v>0</v>
      </c>
      <c r="J243" s="316">
        <f t="shared" si="123"/>
        <v>0</v>
      </c>
      <c r="K243" s="316">
        <f t="shared" si="123"/>
        <v>0</v>
      </c>
      <c r="L243" s="316">
        <f t="shared" si="123"/>
        <v>0</v>
      </c>
      <c r="M243" s="316">
        <f t="shared" si="123"/>
        <v>5.356</v>
      </c>
      <c r="N243" s="316">
        <f t="shared" si="123"/>
        <v>0</v>
      </c>
      <c r="O243" s="316">
        <f t="shared" si="123"/>
        <v>6.89</v>
      </c>
      <c r="P243" s="316">
        <f t="shared" si="123"/>
        <v>0</v>
      </c>
      <c r="Q243" s="316">
        <f t="shared" si="123"/>
        <v>0</v>
      </c>
      <c r="R243" s="316">
        <f t="shared" si="123"/>
        <v>0</v>
      </c>
      <c r="S243" s="316">
        <f t="shared" si="123"/>
        <v>0</v>
      </c>
      <c r="T243" s="316">
        <f t="shared" si="123"/>
        <v>0</v>
      </c>
      <c r="U243" s="316">
        <f t="shared" si="123"/>
        <v>0</v>
      </c>
      <c r="V243" s="316">
        <f t="shared" si="123"/>
        <v>6.89</v>
      </c>
      <c r="W243" s="316">
        <f t="shared" si="123"/>
        <v>5.356</v>
      </c>
      <c r="X243" s="316">
        <f t="shared" si="123"/>
        <v>0</v>
      </c>
      <c r="Y243" s="316">
        <f t="shared" si="123"/>
        <v>5.356</v>
      </c>
      <c r="Z243" s="316">
        <f t="shared" si="123"/>
        <v>0</v>
      </c>
      <c r="AA243" s="316">
        <f t="shared" si="123"/>
        <v>9.854</v>
      </c>
      <c r="AB243" s="316">
        <f t="shared" si="123"/>
        <v>1.846</v>
      </c>
      <c r="AC243" s="316">
        <f t="shared" si="123"/>
        <v>5.356</v>
      </c>
      <c r="AD243" s="316">
        <f t="shared" si="123"/>
        <v>0</v>
      </c>
      <c r="AE243" s="316">
        <f t="shared" si="123"/>
        <v>5.356</v>
      </c>
      <c r="AF243" s="317">
        <f t="shared" si="123"/>
        <v>5.824</v>
      </c>
      <c r="AG243" s="24"/>
    </row>
    <row r="244">
      <c r="A244" s="313" t="s">
        <v>241</v>
      </c>
      <c r="B244" s="316">
        <f t="shared" ref="B244:AF244" si="124">(B43/B14)*B11</f>
        <v>0</v>
      </c>
      <c r="C244" s="316">
        <f t="shared" si="124"/>
        <v>0.3</v>
      </c>
      <c r="D244" s="316">
        <f t="shared" si="124"/>
        <v>0</v>
      </c>
      <c r="E244" s="316">
        <f t="shared" si="124"/>
        <v>0.3</v>
      </c>
      <c r="F244" s="316">
        <f t="shared" si="124"/>
        <v>0</v>
      </c>
      <c r="G244" s="316">
        <f t="shared" si="124"/>
        <v>0</v>
      </c>
      <c r="H244" s="316">
        <f t="shared" si="124"/>
        <v>0.3</v>
      </c>
      <c r="I244" s="316">
        <f t="shared" si="124"/>
        <v>0</v>
      </c>
      <c r="J244" s="316">
        <f t="shared" si="124"/>
        <v>0</v>
      </c>
      <c r="K244" s="316">
        <f t="shared" si="124"/>
        <v>0</v>
      </c>
      <c r="L244" s="316">
        <f t="shared" si="124"/>
        <v>0</v>
      </c>
      <c r="M244" s="316">
        <f t="shared" si="124"/>
        <v>0.3</v>
      </c>
      <c r="N244" s="316">
        <f t="shared" si="124"/>
        <v>0</v>
      </c>
      <c r="O244" s="316">
        <f t="shared" si="124"/>
        <v>0.3</v>
      </c>
      <c r="P244" s="316">
        <f t="shared" si="124"/>
        <v>0</v>
      </c>
      <c r="Q244" s="316">
        <f t="shared" si="124"/>
        <v>0</v>
      </c>
      <c r="R244" s="316">
        <f t="shared" si="124"/>
        <v>0</v>
      </c>
      <c r="S244" s="316">
        <f t="shared" si="124"/>
        <v>0</v>
      </c>
      <c r="T244" s="316">
        <f t="shared" si="124"/>
        <v>0</v>
      </c>
      <c r="U244" s="316">
        <f t="shared" si="124"/>
        <v>0</v>
      </c>
      <c r="V244" s="316">
        <f t="shared" si="124"/>
        <v>0.3</v>
      </c>
      <c r="W244" s="316">
        <f t="shared" si="124"/>
        <v>0.3</v>
      </c>
      <c r="X244" s="316">
        <f t="shared" si="124"/>
        <v>0</v>
      </c>
      <c r="Y244" s="316">
        <f t="shared" si="124"/>
        <v>0.3</v>
      </c>
      <c r="Z244" s="316">
        <f t="shared" si="124"/>
        <v>0</v>
      </c>
      <c r="AA244" s="316">
        <f t="shared" si="124"/>
        <v>0.3</v>
      </c>
      <c r="AB244" s="316">
        <f t="shared" si="124"/>
        <v>0.3</v>
      </c>
      <c r="AC244" s="316">
        <f t="shared" si="124"/>
        <v>0.3</v>
      </c>
      <c r="AD244" s="316">
        <f t="shared" si="124"/>
        <v>0</v>
      </c>
      <c r="AE244" s="316">
        <f t="shared" si="124"/>
        <v>0.3</v>
      </c>
      <c r="AF244" s="317">
        <f t="shared" si="124"/>
        <v>0.3</v>
      </c>
      <c r="AG244" s="24"/>
    </row>
    <row r="245">
      <c r="A245" s="313" t="s">
        <v>428</v>
      </c>
      <c r="B245" s="316">
        <f t="shared" ref="B245:AF245" si="125">85*B11</f>
        <v>0</v>
      </c>
      <c r="C245" s="316">
        <f t="shared" si="125"/>
        <v>85</v>
      </c>
      <c r="D245" s="316">
        <f t="shared" si="125"/>
        <v>0</v>
      </c>
      <c r="E245" s="316">
        <f t="shared" si="125"/>
        <v>85</v>
      </c>
      <c r="F245" s="316">
        <f t="shared" si="125"/>
        <v>0</v>
      </c>
      <c r="G245" s="316">
        <f t="shared" si="125"/>
        <v>0</v>
      </c>
      <c r="H245" s="316">
        <f t="shared" si="125"/>
        <v>85</v>
      </c>
      <c r="I245" s="316">
        <f t="shared" si="125"/>
        <v>0</v>
      </c>
      <c r="J245" s="316">
        <f t="shared" si="125"/>
        <v>0</v>
      </c>
      <c r="K245" s="316">
        <f t="shared" si="125"/>
        <v>0</v>
      </c>
      <c r="L245" s="316">
        <f t="shared" si="125"/>
        <v>0</v>
      </c>
      <c r="M245" s="316">
        <f t="shared" si="125"/>
        <v>85</v>
      </c>
      <c r="N245" s="316">
        <f t="shared" si="125"/>
        <v>0</v>
      </c>
      <c r="O245" s="316">
        <f t="shared" si="125"/>
        <v>85</v>
      </c>
      <c r="P245" s="316">
        <f t="shared" si="125"/>
        <v>0</v>
      </c>
      <c r="Q245" s="316">
        <f t="shared" si="125"/>
        <v>0</v>
      </c>
      <c r="R245" s="316">
        <f t="shared" si="125"/>
        <v>0</v>
      </c>
      <c r="S245" s="316">
        <f t="shared" si="125"/>
        <v>0</v>
      </c>
      <c r="T245" s="316">
        <f t="shared" si="125"/>
        <v>0</v>
      </c>
      <c r="U245" s="316">
        <f t="shared" si="125"/>
        <v>0</v>
      </c>
      <c r="V245" s="316">
        <f t="shared" si="125"/>
        <v>85</v>
      </c>
      <c r="W245" s="316">
        <f t="shared" si="125"/>
        <v>85</v>
      </c>
      <c r="X245" s="316">
        <f t="shared" si="125"/>
        <v>0</v>
      </c>
      <c r="Y245" s="316">
        <f t="shared" si="125"/>
        <v>85</v>
      </c>
      <c r="Z245" s="316">
        <f t="shared" si="125"/>
        <v>0</v>
      </c>
      <c r="AA245" s="316">
        <f t="shared" si="125"/>
        <v>85</v>
      </c>
      <c r="AB245" s="316">
        <f t="shared" si="125"/>
        <v>85</v>
      </c>
      <c r="AC245" s="316">
        <f t="shared" si="125"/>
        <v>85</v>
      </c>
      <c r="AD245" s="316">
        <f t="shared" si="125"/>
        <v>0</v>
      </c>
      <c r="AE245" s="316">
        <f t="shared" si="125"/>
        <v>85</v>
      </c>
      <c r="AF245" s="317">
        <f t="shared" si="125"/>
        <v>85</v>
      </c>
      <c r="AG245" s="24"/>
    </row>
    <row r="246">
      <c r="A246" s="313" t="s">
        <v>296</v>
      </c>
      <c r="B246" s="316">
        <f t="shared" ref="B246:AF246" si="126">10*B11</f>
        <v>0</v>
      </c>
      <c r="C246" s="316">
        <f t="shared" si="126"/>
        <v>10</v>
      </c>
      <c r="D246" s="316">
        <f t="shared" si="126"/>
        <v>0</v>
      </c>
      <c r="E246" s="316">
        <f t="shared" si="126"/>
        <v>10</v>
      </c>
      <c r="F246" s="316">
        <f t="shared" si="126"/>
        <v>0</v>
      </c>
      <c r="G246" s="316">
        <f t="shared" si="126"/>
        <v>0</v>
      </c>
      <c r="H246" s="316">
        <f t="shared" si="126"/>
        <v>10</v>
      </c>
      <c r="I246" s="316">
        <f t="shared" si="126"/>
        <v>0</v>
      </c>
      <c r="J246" s="316">
        <f t="shared" si="126"/>
        <v>0</v>
      </c>
      <c r="K246" s="316">
        <f t="shared" si="126"/>
        <v>0</v>
      </c>
      <c r="L246" s="316">
        <f t="shared" si="126"/>
        <v>0</v>
      </c>
      <c r="M246" s="316">
        <f t="shared" si="126"/>
        <v>10</v>
      </c>
      <c r="N246" s="316">
        <f t="shared" si="126"/>
        <v>0</v>
      </c>
      <c r="O246" s="316">
        <f t="shared" si="126"/>
        <v>10</v>
      </c>
      <c r="P246" s="316">
        <f t="shared" si="126"/>
        <v>0</v>
      </c>
      <c r="Q246" s="316">
        <f t="shared" si="126"/>
        <v>0</v>
      </c>
      <c r="R246" s="316">
        <f t="shared" si="126"/>
        <v>0</v>
      </c>
      <c r="S246" s="316">
        <f t="shared" si="126"/>
        <v>0</v>
      </c>
      <c r="T246" s="316">
        <f t="shared" si="126"/>
        <v>0</v>
      </c>
      <c r="U246" s="316">
        <f t="shared" si="126"/>
        <v>0</v>
      </c>
      <c r="V246" s="316">
        <f t="shared" si="126"/>
        <v>10</v>
      </c>
      <c r="W246" s="316">
        <f t="shared" si="126"/>
        <v>10</v>
      </c>
      <c r="X246" s="316">
        <f t="shared" si="126"/>
        <v>0</v>
      </c>
      <c r="Y246" s="316">
        <f t="shared" si="126"/>
        <v>10</v>
      </c>
      <c r="Z246" s="316">
        <f t="shared" si="126"/>
        <v>0</v>
      </c>
      <c r="AA246" s="316">
        <f t="shared" si="126"/>
        <v>10</v>
      </c>
      <c r="AB246" s="316">
        <f t="shared" si="126"/>
        <v>10</v>
      </c>
      <c r="AC246" s="316">
        <f t="shared" si="126"/>
        <v>10</v>
      </c>
      <c r="AD246" s="316">
        <f t="shared" si="126"/>
        <v>0</v>
      </c>
      <c r="AE246" s="316">
        <f t="shared" si="126"/>
        <v>10</v>
      </c>
      <c r="AF246" s="317">
        <f t="shared" si="126"/>
        <v>10</v>
      </c>
      <c r="AG246" s="24"/>
    </row>
    <row r="247">
      <c r="A247" s="313"/>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c r="AA247" s="134"/>
      <c r="AB247" s="134"/>
      <c r="AC247" s="134"/>
      <c r="AD247" s="134"/>
      <c r="AE247" s="134"/>
      <c r="AF247" s="135"/>
      <c r="AG247" s="24"/>
    </row>
    <row r="248">
      <c r="A248" s="24" t="s">
        <v>436</v>
      </c>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c r="AA248" s="134"/>
      <c r="AB248" s="134"/>
      <c r="AC248" s="134"/>
      <c r="AD248" s="134"/>
      <c r="AE248" s="134"/>
      <c r="AF248" s="135"/>
      <c r="AG248" s="24"/>
    </row>
    <row r="249">
      <c r="A249" s="313" t="s">
        <v>416</v>
      </c>
      <c r="B249" s="314"/>
      <c r="C249" s="314"/>
      <c r="D249" s="314"/>
      <c r="E249" s="314"/>
      <c r="F249" s="314"/>
      <c r="G249" s="314"/>
      <c r="H249" s="314"/>
      <c r="I249" s="314"/>
      <c r="J249" s="314"/>
      <c r="K249" s="314"/>
      <c r="L249" s="314"/>
      <c r="M249" s="314"/>
      <c r="N249" s="314"/>
      <c r="O249" s="314"/>
      <c r="P249" s="314"/>
      <c r="Q249" s="314"/>
      <c r="R249" s="314"/>
      <c r="S249" s="314"/>
      <c r="T249" s="314"/>
      <c r="U249" s="314"/>
      <c r="V249" s="314"/>
      <c r="W249" s="314"/>
      <c r="X249" s="314"/>
      <c r="Y249" s="314"/>
      <c r="Z249" s="314"/>
      <c r="AA249" s="314"/>
      <c r="AB249" s="314"/>
      <c r="AC249" s="314"/>
      <c r="AD249" s="314"/>
      <c r="AE249" s="314"/>
      <c r="AF249" s="315"/>
      <c r="AG249" s="24"/>
    </row>
    <row r="250">
      <c r="A250" s="313" t="s">
        <v>238</v>
      </c>
      <c r="B250" s="316">
        <f t="shared" ref="B250:AF250" si="127">(B42/B26)*B24</f>
        <v>0</v>
      </c>
      <c r="C250" s="316">
        <f t="shared" si="127"/>
        <v>0</v>
      </c>
      <c r="D250" s="316">
        <f t="shared" si="127"/>
        <v>0</v>
      </c>
      <c r="E250" s="316">
        <f t="shared" si="127"/>
        <v>0</v>
      </c>
      <c r="F250" s="316">
        <f t="shared" si="127"/>
        <v>0</v>
      </c>
      <c r="G250" s="316">
        <f t="shared" si="127"/>
        <v>0</v>
      </c>
      <c r="H250" s="316">
        <f t="shared" si="127"/>
        <v>0</v>
      </c>
      <c r="I250" s="316">
        <f t="shared" si="127"/>
        <v>0</v>
      </c>
      <c r="J250" s="316">
        <f t="shared" si="127"/>
        <v>0</v>
      </c>
      <c r="K250" s="316">
        <f t="shared" si="127"/>
        <v>0</v>
      </c>
      <c r="L250" s="316">
        <f t="shared" si="127"/>
        <v>0</v>
      </c>
      <c r="M250" s="316">
        <f t="shared" si="127"/>
        <v>0</v>
      </c>
      <c r="N250" s="316">
        <f t="shared" si="127"/>
        <v>0</v>
      </c>
      <c r="O250" s="316">
        <f t="shared" si="127"/>
        <v>0</v>
      </c>
      <c r="P250" s="316">
        <f t="shared" si="127"/>
        <v>0</v>
      </c>
      <c r="Q250" s="316">
        <f t="shared" si="127"/>
        <v>0</v>
      </c>
      <c r="R250" s="316">
        <f t="shared" si="127"/>
        <v>0</v>
      </c>
      <c r="S250" s="316">
        <f t="shared" si="127"/>
        <v>0</v>
      </c>
      <c r="T250" s="316">
        <f t="shared" si="127"/>
        <v>0</v>
      </c>
      <c r="U250" s="316">
        <f t="shared" si="127"/>
        <v>0</v>
      </c>
      <c r="V250" s="316">
        <f t="shared" si="127"/>
        <v>0</v>
      </c>
      <c r="W250" s="316">
        <f t="shared" si="127"/>
        <v>0</v>
      </c>
      <c r="X250" s="316">
        <f t="shared" si="127"/>
        <v>0</v>
      </c>
      <c r="Y250" s="316">
        <f t="shared" si="127"/>
        <v>0</v>
      </c>
      <c r="Z250" s="316">
        <f t="shared" si="127"/>
        <v>0</v>
      </c>
      <c r="AA250" s="316">
        <f t="shared" si="127"/>
        <v>0</v>
      </c>
      <c r="AB250" s="316">
        <f t="shared" si="127"/>
        <v>0</v>
      </c>
      <c r="AC250" s="316">
        <f t="shared" si="127"/>
        <v>0</v>
      </c>
      <c r="AD250" s="316">
        <f t="shared" si="127"/>
        <v>0</v>
      </c>
      <c r="AE250" s="316">
        <f t="shared" si="127"/>
        <v>0</v>
      </c>
      <c r="AF250" s="317">
        <f t="shared" si="127"/>
        <v>0</v>
      </c>
      <c r="AG250" s="24"/>
    </row>
    <row r="251">
      <c r="A251" s="313" t="s">
        <v>241</v>
      </c>
      <c r="B251" s="316">
        <f t="shared" ref="B251:AF251" si="128">(B43/B14)*B12</f>
        <v>0</v>
      </c>
      <c r="C251" s="316">
        <f t="shared" si="128"/>
        <v>0</v>
      </c>
      <c r="D251" s="316">
        <f t="shared" si="128"/>
        <v>0</v>
      </c>
      <c r="E251" s="316">
        <f t="shared" si="128"/>
        <v>0</v>
      </c>
      <c r="F251" s="316">
        <f t="shared" si="128"/>
        <v>0</v>
      </c>
      <c r="G251" s="316">
        <f t="shared" si="128"/>
        <v>0</v>
      </c>
      <c r="H251" s="316">
        <f t="shared" si="128"/>
        <v>0</v>
      </c>
      <c r="I251" s="316">
        <f t="shared" si="128"/>
        <v>0</v>
      </c>
      <c r="J251" s="316">
        <f t="shared" si="128"/>
        <v>0</v>
      </c>
      <c r="K251" s="316">
        <f t="shared" si="128"/>
        <v>0</v>
      </c>
      <c r="L251" s="316">
        <f t="shared" si="128"/>
        <v>0</v>
      </c>
      <c r="M251" s="316">
        <f t="shared" si="128"/>
        <v>0</v>
      </c>
      <c r="N251" s="316">
        <f t="shared" si="128"/>
        <v>0</v>
      </c>
      <c r="O251" s="316">
        <f t="shared" si="128"/>
        <v>0</v>
      </c>
      <c r="P251" s="316">
        <f t="shared" si="128"/>
        <v>0</v>
      </c>
      <c r="Q251" s="316">
        <f t="shared" si="128"/>
        <v>0</v>
      </c>
      <c r="R251" s="316">
        <f t="shared" si="128"/>
        <v>0</v>
      </c>
      <c r="S251" s="316">
        <f t="shared" si="128"/>
        <v>0</v>
      </c>
      <c r="T251" s="316">
        <f t="shared" si="128"/>
        <v>0</v>
      </c>
      <c r="U251" s="316">
        <f t="shared" si="128"/>
        <v>0</v>
      </c>
      <c r="V251" s="316">
        <f t="shared" si="128"/>
        <v>0</v>
      </c>
      <c r="W251" s="316">
        <f t="shared" si="128"/>
        <v>0</v>
      </c>
      <c r="X251" s="316">
        <f t="shared" si="128"/>
        <v>0</v>
      </c>
      <c r="Y251" s="316">
        <f t="shared" si="128"/>
        <v>0</v>
      </c>
      <c r="Z251" s="316">
        <f t="shared" si="128"/>
        <v>0</v>
      </c>
      <c r="AA251" s="316">
        <f t="shared" si="128"/>
        <v>0</v>
      </c>
      <c r="AB251" s="316">
        <f t="shared" si="128"/>
        <v>0</v>
      </c>
      <c r="AC251" s="316">
        <f t="shared" si="128"/>
        <v>0</v>
      </c>
      <c r="AD251" s="316">
        <f t="shared" si="128"/>
        <v>0</v>
      </c>
      <c r="AE251" s="316">
        <f t="shared" si="128"/>
        <v>0</v>
      </c>
      <c r="AF251" s="317">
        <f t="shared" si="128"/>
        <v>0</v>
      </c>
      <c r="AG251" s="24"/>
    </row>
    <row r="252">
      <c r="A252" s="313" t="s">
        <v>428</v>
      </c>
      <c r="B252" s="316">
        <f t="shared" ref="B252:AF252" si="129">85*B12</f>
        <v>0</v>
      </c>
      <c r="C252" s="316">
        <f t="shared" si="129"/>
        <v>0</v>
      </c>
      <c r="D252" s="316">
        <f t="shared" si="129"/>
        <v>0</v>
      </c>
      <c r="E252" s="316">
        <f t="shared" si="129"/>
        <v>0</v>
      </c>
      <c r="F252" s="316">
        <f t="shared" si="129"/>
        <v>0</v>
      </c>
      <c r="G252" s="316">
        <f t="shared" si="129"/>
        <v>0</v>
      </c>
      <c r="H252" s="316">
        <f t="shared" si="129"/>
        <v>0</v>
      </c>
      <c r="I252" s="316">
        <f t="shared" si="129"/>
        <v>0</v>
      </c>
      <c r="J252" s="316">
        <f t="shared" si="129"/>
        <v>0</v>
      </c>
      <c r="K252" s="316">
        <f t="shared" si="129"/>
        <v>0</v>
      </c>
      <c r="L252" s="316">
        <f t="shared" si="129"/>
        <v>0</v>
      </c>
      <c r="M252" s="316">
        <f t="shared" si="129"/>
        <v>0</v>
      </c>
      <c r="N252" s="316">
        <f t="shared" si="129"/>
        <v>0</v>
      </c>
      <c r="O252" s="316">
        <f t="shared" si="129"/>
        <v>0</v>
      </c>
      <c r="P252" s="316">
        <f t="shared" si="129"/>
        <v>0</v>
      </c>
      <c r="Q252" s="316">
        <f t="shared" si="129"/>
        <v>0</v>
      </c>
      <c r="R252" s="316">
        <f t="shared" si="129"/>
        <v>0</v>
      </c>
      <c r="S252" s="316">
        <f t="shared" si="129"/>
        <v>0</v>
      </c>
      <c r="T252" s="316">
        <f t="shared" si="129"/>
        <v>0</v>
      </c>
      <c r="U252" s="316">
        <f t="shared" si="129"/>
        <v>0</v>
      </c>
      <c r="V252" s="316">
        <f t="shared" si="129"/>
        <v>0</v>
      </c>
      <c r="W252" s="316">
        <f t="shared" si="129"/>
        <v>0</v>
      </c>
      <c r="X252" s="316">
        <f t="shared" si="129"/>
        <v>0</v>
      </c>
      <c r="Y252" s="316">
        <f t="shared" si="129"/>
        <v>0</v>
      </c>
      <c r="Z252" s="316">
        <f t="shared" si="129"/>
        <v>0</v>
      </c>
      <c r="AA252" s="316">
        <f t="shared" si="129"/>
        <v>0</v>
      </c>
      <c r="AB252" s="316">
        <f t="shared" si="129"/>
        <v>0</v>
      </c>
      <c r="AC252" s="316">
        <f t="shared" si="129"/>
        <v>0</v>
      </c>
      <c r="AD252" s="316">
        <f t="shared" si="129"/>
        <v>0</v>
      </c>
      <c r="AE252" s="316">
        <f t="shared" si="129"/>
        <v>0</v>
      </c>
      <c r="AF252" s="317">
        <f t="shared" si="129"/>
        <v>0</v>
      </c>
      <c r="AG252" s="24"/>
    </row>
    <row r="253">
      <c r="A253" s="313" t="s">
        <v>296</v>
      </c>
      <c r="B253" s="316">
        <f t="shared" ref="B253:AF253" si="130">10*B12</f>
        <v>0</v>
      </c>
      <c r="C253" s="316">
        <f t="shared" si="130"/>
        <v>0</v>
      </c>
      <c r="D253" s="316">
        <f t="shared" si="130"/>
        <v>0</v>
      </c>
      <c r="E253" s="316">
        <f t="shared" si="130"/>
        <v>0</v>
      </c>
      <c r="F253" s="316">
        <f t="shared" si="130"/>
        <v>0</v>
      </c>
      <c r="G253" s="316">
        <f t="shared" si="130"/>
        <v>0</v>
      </c>
      <c r="H253" s="316">
        <f t="shared" si="130"/>
        <v>0</v>
      </c>
      <c r="I253" s="316">
        <f t="shared" si="130"/>
        <v>0</v>
      </c>
      <c r="J253" s="316">
        <f t="shared" si="130"/>
        <v>0</v>
      </c>
      <c r="K253" s="316">
        <f t="shared" si="130"/>
        <v>0</v>
      </c>
      <c r="L253" s="316">
        <f t="shared" si="130"/>
        <v>0</v>
      </c>
      <c r="M253" s="316">
        <f t="shared" si="130"/>
        <v>0</v>
      </c>
      <c r="N253" s="316">
        <f t="shared" si="130"/>
        <v>0</v>
      </c>
      <c r="O253" s="316">
        <f t="shared" si="130"/>
        <v>0</v>
      </c>
      <c r="P253" s="316">
        <f t="shared" si="130"/>
        <v>0</v>
      </c>
      <c r="Q253" s="316">
        <f t="shared" si="130"/>
        <v>0</v>
      </c>
      <c r="R253" s="316">
        <f t="shared" si="130"/>
        <v>0</v>
      </c>
      <c r="S253" s="316">
        <f t="shared" si="130"/>
        <v>0</v>
      </c>
      <c r="T253" s="316">
        <f t="shared" si="130"/>
        <v>0</v>
      </c>
      <c r="U253" s="316">
        <f t="shared" si="130"/>
        <v>0</v>
      </c>
      <c r="V253" s="316">
        <f t="shared" si="130"/>
        <v>0</v>
      </c>
      <c r="W253" s="316">
        <f t="shared" si="130"/>
        <v>0</v>
      </c>
      <c r="X253" s="316">
        <f t="shared" si="130"/>
        <v>0</v>
      </c>
      <c r="Y253" s="316">
        <f t="shared" si="130"/>
        <v>0</v>
      </c>
      <c r="Z253" s="316">
        <f t="shared" si="130"/>
        <v>0</v>
      </c>
      <c r="AA253" s="316">
        <f t="shared" si="130"/>
        <v>0</v>
      </c>
      <c r="AB253" s="316">
        <f t="shared" si="130"/>
        <v>0</v>
      </c>
      <c r="AC253" s="316">
        <f t="shared" si="130"/>
        <v>0</v>
      </c>
      <c r="AD253" s="316">
        <f t="shared" si="130"/>
        <v>0</v>
      </c>
      <c r="AE253" s="316">
        <f t="shared" si="130"/>
        <v>0</v>
      </c>
      <c r="AF253" s="317">
        <f t="shared" si="130"/>
        <v>0</v>
      </c>
      <c r="AG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7"/>
      <c r="AG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7"/>
      <c r="AG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7"/>
      <c r="AG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7"/>
      <c r="AG257" s="319"/>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7"/>
      <c r="AG258" s="319"/>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7"/>
      <c r="AG259" s="319"/>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7"/>
      <c r="AG260" s="319"/>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7"/>
      <c r="AG261" s="319"/>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7"/>
      <c r="AG262" s="319"/>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7"/>
      <c r="AG263" s="319"/>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7"/>
      <c r="AG264" s="319"/>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7"/>
      <c r="AG265" s="319"/>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7"/>
      <c r="AG266" s="319"/>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7"/>
      <c r="AG267" s="319"/>
    </row>
    <row r="268">
      <c r="A268" s="313"/>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c r="AA268" s="134"/>
      <c r="AB268" s="134"/>
      <c r="AC268" s="134"/>
      <c r="AD268" s="134"/>
      <c r="AE268" s="134"/>
      <c r="AF268" s="135"/>
      <c r="AG268" s="319"/>
    </row>
    <row r="269">
      <c r="A269" s="313"/>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c r="AA269" s="134"/>
      <c r="AB269" s="134"/>
      <c r="AC269" s="134"/>
      <c r="AD269" s="134"/>
      <c r="AE269" s="134"/>
      <c r="AF269" s="135"/>
      <c r="AG269" s="319"/>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7"/>
      <c r="AG270" s="319"/>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7"/>
      <c r="AG271" s="319"/>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7"/>
      <c r="AG272" s="319"/>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7"/>
      <c r="AG273" s="319"/>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7"/>
      <c r="AG274" s="319"/>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7"/>
      <c r="AG275" s="319"/>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7"/>
      <c r="AG276" s="319"/>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7"/>
      <c r="AG277" s="319"/>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7"/>
      <c r="AG278" s="319"/>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7"/>
      <c r="AG279" s="319"/>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7"/>
      <c r="AG280" s="319"/>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7"/>
      <c r="AG281" s="319"/>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7"/>
      <c r="AG282" s="319"/>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7"/>
      <c r="AG283" s="319"/>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7"/>
      <c r="AG284" s="319"/>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7"/>
      <c r="AG285" s="319"/>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7"/>
      <c r="AG286" s="319"/>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7"/>
      <c r="AG287" s="319"/>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7"/>
      <c r="AG288" s="319"/>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7"/>
      <c r="AG289" s="319"/>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7"/>
      <c r="AG290" s="319"/>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7"/>
      <c r="AG291" s="319"/>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7"/>
      <c r="AG292" s="319"/>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7"/>
      <c r="AG293" s="319"/>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7"/>
      <c r="AG294" s="319"/>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7"/>
      <c r="AG295" s="319"/>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7"/>
      <c r="AG296" s="319"/>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7"/>
      <c r="AG297" s="319"/>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7"/>
      <c r="AG298" s="319"/>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7"/>
      <c r="AG299" s="319"/>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7"/>
      <c r="AG300" s="319"/>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7"/>
      <c r="AG301" s="319"/>
    </row>
    <row r="302">
      <c r="AF302" s="320"/>
      <c r="AG302" s="321"/>
    </row>
    <row r="303">
      <c r="AF303" s="320"/>
      <c r="AG303" s="321"/>
    </row>
    <row r="304">
      <c r="AF304" s="320"/>
      <c r="AG304" s="321"/>
    </row>
    <row r="305">
      <c r="AF305" s="320"/>
      <c r="AG305" s="321"/>
    </row>
    <row r="306">
      <c r="AF306" s="320"/>
      <c r="AG306" s="321"/>
    </row>
    <row r="307">
      <c r="AF307" s="320"/>
      <c r="AG307" s="321"/>
    </row>
    <row r="308">
      <c r="AF308" s="320"/>
      <c r="AG308" s="321"/>
    </row>
    <row r="309">
      <c r="AF309" s="320"/>
      <c r="AG309" s="321"/>
    </row>
    <row r="310">
      <c r="AF310" s="320"/>
      <c r="AG310" s="321"/>
    </row>
    <row r="311">
      <c r="AF311" s="320"/>
      <c r="AG311" s="321"/>
    </row>
    <row r="312">
      <c r="AF312" s="320"/>
      <c r="AG312" s="321"/>
    </row>
    <row r="313">
      <c r="AF313" s="320"/>
      <c r="AG313" s="321"/>
    </row>
    <row r="314">
      <c r="AF314" s="320"/>
      <c r="AG314" s="321"/>
    </row>
    <row r="315">
      <c r="AF315" s="320"/>
      <c r="AG315" s="321"/>
    </row>
    <row r="316">
      <c r="AF316" s="320"/>
      <c r="AG316" s="321"/>
    </row>
    <row r="317">
      <c r="AF317" s="320"/>
      <c r="AG317" s="321"/>
    </row>
    <row r="318">
      <c r="AF318" s="320"/>
      <c r="AG318" s="321"/>
    </row>
    <row r="319">
      <c r="AF319" s="320"/>
      <c r="AG319" s="321"/>
    </row>
    <row r="320">
      <c r="AF320" s="320"/>
      <c r="AG320" s="321"/>
    </row>
    <row r="321">
      <c r="AF321" s="320"/>
      <c r="AG321" s="321"/>
    </row>
    <row r="322">
      <c r="AF322" s="320"/>
      <c r="AG322" s="321"/>
    </row>
    <row r="323">
      <c r="AF323" s="320"/>
      <c r="AG323" s="321"/>
    </row>
    <row r="324">
      <c r="AF324" s="320"/>
      <c r="AG324" s="321"/>
    </row>
    <row r="325">
      <c r="AF325" s="320"/>
      <c r="AG325" s="321"/>
    </row>
    <row r="326">
      <c r="AF326" s="320"/>
      <c r="AG326" s="321"/>
    </row>
    <row r="327">
      <c r="AF327" s="320"/>
      <c r="AG327" s="321"/>
    </row>
    <row r="328">
      <c r="AF328" s="320"/>
      <c r="AG328" s="321"/>
    </row>
    <row r="329">
      <c r="AF329" s="320"/>
      <c r="AG329" s="321"/>
    </row>
    <row r="330">
      <c r="AF330" s="320"/>
      <c r="AG330" s="321"/>
    </row>
    <row r="331">
      <c r="AF331" s="320"/>
      <c r="AG331" s="321"/>
    </row>
    <row r="332">
      <c r="AF332" s="320"/>
      <c r="AG332" s="321"/>
    </row>
    <row r="333">
      <c r="AF333" s="320"/>
      <c r="AG333" s="321"/>
    </row>
    <row r="334">
      <c r="AF334" s="320"/>
      <c r="AG334" s="321"/>
    </row>
    <row r="335">
      <c r="AF335" s="320"/>
      <c r="AG335" s="321"/>
    </row>
    <row r="336">
      <c r="AF336" s="320"/>
      <c r="AG336" s="321"/>
    </row>
    <row r="337">
      <c r="AF337" s="320"/>
      <c r="AG337" s="321"/>
    </row>
    <row r="338">
      <c r="AF338" s="320"/>
      <c r="AG338" s="321"/>
    </row>
    <row r="339">
      <c r="AF339" s="320"/>
      <c r="AG339" s="321"/>
    </row>
    <row r="340">
      <c r="AF340" s="320"/>
      <c r="AG340" s="321"/>
    </row>
    <row r="341">
      <c r="AF341" s="320"/>
      <c r="AG341" s="321"/>
    </row>
    <row r="342">
      <c r="AF342" s="320"/>
      <c r="AG342" s="321"/>
    </row>
    <row r="343">
      <c r="AF343" s="320"/>
      <c r="AG343" s="321"/>
    </row>
    <row r="344">
      <c r="AF344" s="320"/>
      <c r="AG344" s="321"/>
    </row>
    <row r="345">
      <c r="AF345" s="320"/>
      <c r="AG345" s="321"/>
    </row>
    <row r="346">
      <c r="AF346" s="320"/>
      <c r="AG346" s="321"/>
    </row>
    <row r="347">
      <c r="AF347" s="320"/>
      <c r="AG347" s="321"/>
    </row>
    <row r="348">
      <c r="AF348" s="320"/>
      <c r="AG348" s="321"/>
    </row>
    <row r="349">
      <c r="AF349" s="320"/>
      <c r="AG349" s="321"/>
    </row>
    <row r="350">
      <c r="AF350" s="320"/>
      <c r="AG350" s="321"/>
    </row>
    <row r="351">
      <c r="AF351" s="320"/>
      <c r="AG351" s="321"/>
    </row>
    <row r="352">
      <c r="AF352" s="320"/>
      <c r="AG352" s="321"/>
    </row>
    <row r="353">
      <c r="AF353" s="320"/>
      <c r="AG353" s="321"/>
    </row>
    <row r="354">
      <c r="AF354" s="320"/>
      <c r="AG354" s="321"/>
    </row>
    <row r="355">
      <c r="AF355" s="320"/>
      <c r="AG355" s="321"/>
    </row>
    <row r="356">
      <c r="AF356" s="320"/>
      <c r="AG356" s="321"/>
    </row>
    <row r="357">
      <c r="AF357" s="320"/>
      <c r="AG357" s="321"/>
    </row>
    <row r="358">
      <c r="AF358" s="320"/>
      <c r="AG358" s="321"/>
    </row>
    <row r="359">
      <c r="AF359" s="320"/>
      <c r="AG359" s="321"/>
    </row>
    <row r="360">
      <c r="AF360" s="320"/>
      <c r="AG360" s="321"/>
    </row>
    <row r="361">
      <c r="AF361" s="320"/>
      <c r="AG361" s="321"/>
    </row>
    <row r="362">
      <c r="AF362" s="320"/>
      <c r="AG362" s="321"/>
    </row>
    <row r="363">
      <c r="AF363" s="320"/>
      <c r="AG363" s="321"/>
    </row>
    <row r="364">
      <c r="AF364" s="320"/>
      <c r="AG364" s="321"/>
    </row>
    <row r="365">
      <c r="AF365" s="320"/>
      <c r="AG365" s="321"/>
    </row>
    <row r="366">
      <c r="AF366" s="320"/>
      <c r="AG366" s="321"/>
    </row>
    <row r="367">
      <c r="AF367" s="320"/>
      <c r="AG367" s="321"/>
    </row>
    <row r="368">
      <c r="AF368" s="320"/>
      <c r="AG368" s="321"/>
    </row>
    <row r="369">
      <c r="AF369" s="320"/>
      <c r="AG369" s="321"/>
    </row>
    <row r="370">
      <c r="AF370" s="320"/>
      <c r="AG370" s="321"/>
    </row>
    <row r="371">
      <c r="AF371" s="320"/>
      <c r="AG371" s="321"/>
    </row>
    <row r="372">
      <c r="AF372" s="320"/>
      <c r="AG372" s="321"/>
    </row>
    <row r="373">
      <c r="AF373" s="320"/>
      <c r="AG373" s="321"/>
    </row>
    <row r="374">
      <c r="AF374" s="320"/>
      <c r="AG374" s="321"/>
    </row>
    <row r="375">
      <c r="AF375" s="320"/>
      <c r="AG375" s="321"/>
    </row>
    <row r="376">
      <c r="AF376" s="320"/>
      <c r="AG376" s="321"/>
    </row>
    <row r="377">
      <c r="AF377" s="320"/>
      <c r="AG377" s="321"/>
    </row>
    <row r="378">
      <c r="AF378" s="320"/>
      <c r="AG378" s="321"/>
    </row>
    <row r="379">
      <c r="AF379" s="320"/>
      <c r="AG379" s="321"/>
    </row>
    <row r="380">
      <c r="AF380" s="320"/>
      <c r="AG380" s="321"/>
    </row>
    <row r="381">
      <c r="AF381" s="320"/>
      <c r="AG381" s="321"/>
    </row>
    <row r="382">
      <c r="AF382" s="320"/>
      <c r="AG382" s="321"/>
    </row>
    <row r="383">
      <c r="AF383" s="320"/>
      <c r="AG383" s="321"/>
    </row>
    <row r="384">
      <c r="AF384" s="320"/>
      <c r="AG384" s="321"/>
    </row>
    <row r="385">
      <c r="AF385" s="320"/>
      <c r="AG385" s="321"/>
    </row>
    <row r="386">
      <c r="AF386" s="320"/>
      <c r="AG386" s="321"/>
    </row>
    <row r="387">
      <c r="AF387" s="320"/>
      <c r="AG387" s="321"/>
    </row>
    <row r="388">
      <c r="AF388" s="320"/>
      <c r="AG388" s="321"/>
    </row>
    <row r="389">
      <c r="AF389" s="320"/>
      <c r="AG389" s="321"/>
    </row>
    <row r="390">
      <c r="AF390" s="320"/>
      <c r="AG390" s="321"/>
    </row>
    <row r="391">
      <c r="AF391" s="320"/>
      <c r="AG391" s="321"/>
    </row>
    <row r="392">
      <c r="AF392" s="320"/>
      <c r="AG392" s="321"/>
    </row>
    <row r="393">
      <c r="AF393" s="320"/>
      <c r="AG393" s="321"/>
    </row>
    <row r="394">
      <c r="AF394" s="320"/>
      <c r="AG394" s="321"/>
    </row>
    <row r="395">
      <c r="AF395" s="320"/>
      <c r="AG395" s="321"/>
    </row>
    <row r="396">
      <c r="AF396" s="320"/>
      <c r="AG396" s="321"/>
    </row>
    <row r="397">
      <c r="AF397" s="320"/>
      <c r="AG397" s="321"/>
    </row>
    <row r="398">
      <c r="AF398" s="320"/>
      <c r="AG398" s="321"/>
    </row>
    <row r="399">
      <c r="AF399" s="320"/>
      <c r="AG399" s="321"/>
    </row>
    <row r="400">
      <c r="AF400" s="320"/>
      <c r="AG400" s="321"/>
    </row>
    <row r="401">
      <c r="AF401" s="320"/>
      <c r="AG401" s="321"/>
    </row>
    <row r="402">
      <c r="AF402" s="320"/>
      <c r="AG402" s="321"/>
    </row>
    <row r="403">
      <c r="AF403" s="320"/>
      <c r="AG403" s="321"/>
    </row>
    <row r="404">
      <c r="AF404" s="320"/>
      <c r="AG404" s="321"/>
    </row>
    <row r="405">
      <c r="AF405" s="320"/>
      <c r="AG405" s="321"/>
    </row>
    <row r="406">
      <c r="AF406" s="320"/>
      <c r="AG406" s="321"/>
    </row>
    <row r="407">
      <c r="AF407" s="320"/>
      <c r="AG407" s="321"/>
    </row>
    <row r="408">
      <c r="AF408" s="320"/>
      <c r="AG408" s="321"/>
    </row>
    <row r="409">
      <c r="AF409" s="320"/>
      <c r="AG409" s="321"/>
    </row>
    <row r="410">
      <c r="AF410" s="320"/>
      <c r="AG410" s="321"/>
    </row>
    <row r="411">
      <c r="AF411" s="320"/>
      <c r="AG411" s="321"/>
    </row>
    <row r="412">
      <c r="AF412" s="320"/>
      <c r="AG412" s="321"/>
    </row>
    <row r="413">
      <c r="AF413" s="320"/>
      <c r="AG413" s="321"/>
    </row>
    <row r="414">
      <c r="AF414" s="320"/>
      <c r="AG414" s="321"/>
    </row>
    <row r="415">
      <c r="AF415" s="320"/>
      <c r="AG415" s="321"/>
    </row>
    <row r="416">
      <c r="AF416" s="320"/>
      <c r="AG416" s="321"/>
    </row>
    <row r="417">
      <c r="AF417" s="320"/>
      <c r="AG417" s="321"/>
    </row>
    <row r="418">
      <c r="AF418" s="320"/>
      <c r="AG418" s="321"/>
    </row>
    <row r="419">
      <c r="AF419" s="320"/>
      <c r="AG419" s="321"/>
    </row>
    <row r="420">
      <c r="AF420" s="320"/>
      <c r="AG420" s="321"/>
    </row>
    <row r="421">
      <c r="AF421" s="320"/>
      <c r="AG421" s="321"/>
    </row>
    <row r="422">
      <c r="AF422" s="320"/>
      <c r="AG422" s="321"/>
    </row>
    <row r="423">
      <c r="AF423" s="320"/>
      <c r="AG423" s="321"/>
    </row>
    <row r="424">
      <c r="AF424" s="320"/>
      <c r="AG424" s="321"/>
    </row>
    <row r="425">
      <c r="AF425" s="320"/>
      <c r="AG425" s="321"/>
    </row>
    <row r="426">
      <c r="AF426" s="320"/>
      <c r="AG426" s="321"/>
    </row>
    <row r="427">
      <c r="AF427" s="320"/>
      <c r="AG427" s="321"/>
    </row>
    <row r="428">
      <c r="AF428" s="320"/>
      <c r="AG428" s="321"/>
    </row>
    <row r="429">
      <c r="AF429" s="320"/>
      <c r="AG429" s="321"/>
    </row>
    <row r="430">
      <c r="AF430" s="320"/>
      <c r="AG430" s="321"/>
    </row>
    <row r="431">
      <c r="AF431" s="320"/>
      <c r="AG431" s="321"/>
    </row>
    <row r="432">
      <c r="AF432" s="320"/>
      <c r="AG432" s="321"/>
    </row>
    <row r="433">
      <c r="AF433" s="320"/>
      <c r="AG433" s="321"/>
    </row>
    <row r="434">
      <c r="AF434" s="320"/>
      <c r="AG434" s="321"/>
    </row>
    <row r="435">
      <c r="AF435" s="320"/>
      <c r="AG435" s="321"/>
    </row>
    <row r="436">
      <c r="AF436" s="320"/>
      <c r="AG436" s="321"/>
    </row>
    <row r="437">
      <c r="AF437" s="320"/>
      <c r="AG437" s="321"/>
    </row>
    <row r="438">
      <c r="AF438" s="320"/>
      <c r="AG438" s="321"/>
    </row>
    <row r="439">
      <c r="AF439" s="320"/>
      <c r="AG439" s="321"/>
    </row>
    <row r="440">
      <c r="AF440" s="320"/>
      <c r="AG440" s="321"/>
    </row>
    <row r="441">
      <c r="AF441" s="320"/>
      <c r="AG441" s="321"/>
    </row>
    <row r="442">
      <c r="AF442" s="320"/>
      <c r="AG442" s="321"/>
    </row>
    <row r="443">
      <c r="AF443" s="320"/>
      <c r="AG443" s="321"/>
    </row>
    <row r="444">
      <c r="AF444" s="320"/>
      <c r="AG444" s="321"/>
    </row>
    <row r="445">
      <c r="AF445" s="320"/>
      <c r="AG445" s="321"/>
    </row>
    <row r="446">
      <c r="AF446" s="320"/>
      <c r="AG446" s="321"/>
    </row>
    <row r="447">
      <c r="AF447" s="320"/>
      <c r="AG447" s="321"/>
    </row>
    <row r="448">
      <c r="AF448" s="320"/>
      <c r="AG448" s="321"/>
    </row>
    <row r="449">
      <c r="AF449" s="320"/>
      <c r="AG449" s="321"/>
    </row>
    <row r="450">
      <c r="AF450" s="320"/>
      <c r="AG450" s="321"/>
    </row>
    <row r="451">
      <c r="AF451" s="320"/>
      <c r="AG451" s="321"/>
    </row>
    <row r="452">
      <c r="AF452" s="320"/>
      <c r="AG452" s="321"/>
    </row>
    <row r="453">
      <c r="AF453" s="320"/>
      <c r="AG453" s="321"/>
    </row>
    <row r="454">
      <c r="AF454" s="320"/>
      <c r="AG454" s="321"/>
    </row>
    <row r="455">
      <c r="AF455" s="320"/>
      <c r="AG455" s="321"/>
    </row>
    <row r="456">
      <c r="AF456" s="320"/>
      <c r="AG456" s="321"/>
    </row>
    <row r="457">
      <c r="AF457" s="320"/>
      <c r="AG457" s="321"/>
    </row>
    <row r="458">
      <c r="AF458" s="320"/>
      <c r="AG458" s="321"/>
    </row>
    <row r="459">
      <c r="AF459" s="320"/>
      <c r="AG459" s="321"/>
    </row>
    <row r="460">
      <c r="AF460" s="320"/>
      <c r="AG460" s="321"/>
    </row>
    <row r="461">
      <c r="AF461" s="320"/>
      <c r="AG461" s="321"/>
    </row>
    <row r="462">
      <c r="AF462" s="320"/>
      <c r="AG462" s="321"/>
    </row>
    <row r="463">
      <c r="AF463" s="320"/>
      <c r="AG463" s="321"/>
    </row>
    <row r="464">
      <c r="AF464" s="320"/>
      <c r="AG464" s="321"/>
    </row>
    <row r="465">
      <c r="AF465" s="320"/>
      <c r="AG465" s="321"/>
    </row>
    <row r="466">
      <c r="AF466" s="320"/>
      <c r="AG466" s="321"/>
    </row>
    <row r="467">
      <c r="AF467" s="320"/>
      <c r="AG467" s="321"/>
    </row>
    <row r="468">
      <c r="AF468" s="320"/>
      <c r="AG468" s="321"/>
    </row>
    <row r="469">
      <c r="AF469" s="320"/>
      <c r="AG469" s="321"/>
    </row>
    <row r="470">
      <c r="AF470" s="320"/>
      <c r="AG470" s="321"/>
    </row>
    <row r="471">
      <c r="AF471" s="320"/>
      <c r="AG471" s="321"/>
    </row>
    <row r="472">
      <c r="AF472" s="320"/>
      <c r="AG472" s="321"/>
    </row>
    <row r="473">
      <c r="AF473" s="320"/>
      <c r="AG473" s="321"/>
    </row>
    <row r="474">
      <c r="AF474" s="320"/>
      <c r="AG474" s="321"/>
    </row>
    <row r="475">
      <c r="AF475" s="320"/>
      <c r="AG475" s="321"/>
    </row>
    <row r="476">
      <c r="AF476" s="320"/>
      <c r="AG476" s="321"/>
    </row>
    <row r="477">
      <c r="AF477" s="320"/>
      <c r="AG477" s="321"/>
    </row>
    <row r="478">
      <c r="AF478" s="320"/>
      <c r="AG478" s="321"/>
    </row>
    <row r="479">
      <c r="AF479" s="320"/>
      <c r="AG479" s="321"/>
    </row>
    <row r="480">
      <c r="AF480" s="320"/>
      <c r="AG480" s="321"/>
    </row>
    <row r="481">
      <c r="AF481" s="320"/>
      <c r="AG481" s="321"/>
    </row>
    <row r="482">
      <c r="AF482" s="320"/>
      <c r="AG482" s="321"/>
    </row>
    <row r="483">
      <c r="AF483" s="320"/>
      <c r="AG483" s="321"/>
    </row>
    <row r="484">
      <c r="AF484" s="320"/>
      <c r="AG484" s="321"/>
    </row>
    <row r="485">
      <c r="AF485" s="320"/>
      <c r="AG485" s="321"/>
    </row>
    <row r="486">
      <c r="AF486" s="320"/>
      <c r="AG486" s="321"/>
    </row>
    <row r="487">
      <c r="AF487" s="320"/>
      <c r="AG487" s="321"/>
    </row>
    <row r="488">
      <c r="AF488" s="320"/>
      <c r="AG488" s="321"/>
    </row>
    <row r="489">
      <c r="AF489" s="320"/>
      <c r="AG489" s="321"/>
    </row>
    <row r="490">
      <c r="AF490" s="320"/>
      <c r="AG490" s="321"/>
    </row>
    <row r="491">
      <c r="AF491" s="320"/>
      <c r="AG491" s="321"/>
    </row>
    <row r="492">
      <c r="AF492" s="320"/>
      <c r="AG492" s="321"/>
    </row>
    <row r="493">
      <c r="AF493" s="320"/>
      <c r="AG493" s="321"/>
    </row>
    <row r="494">
      <c r="AF494" s="320"/>
      <c r="AG494" s="321"/>
    </row>
    <row r="495">
      <c r="AF495" s="320"/>
      <c r="AG495" s="321"/>
    </row>
    <row r="496">
      <c r="AF496" s="320"/>
      <c r="AG496" s="321"/>
    </row>
    <row r="497">
      <c r="AF497" s="320"/>
      <c r="AG497" s="321"/>
    </row>
    <row r="498">
      <c r="AF498" s="320"/>
      <c r="AG498" s="321"/>
    </row>
    <row r="499">
      <c r="AF499" s="320"/>
      <c r="AG499" s="321"/>
    </row>
    <row r="500">
      <c r="AF500" s="320"/>
      <c r="AG500" s="321"/>
    </row>
    <row r="501">
      <c r="AF501" s="320"/>
      <c r="AG501" s="321"/>
    </row>
    <row r="502">
      <c r="AF502" s="320"/>
      <c r="AG502" s="321"/>
    </row>
    <row r="503">
      <c r="AF503" s="320"/>
      <c r="AG503" s="321"/>
    </row>
    <row r="504">
      <c r="AF504" s="320"/>
      <c r="AG504" s="321"/>
    </row>
    <row r="505">
      <c r="AF505" s="320"/>
      <c r="AG505" s="321"/>
    </row>
    <row r="506">
      <c r="AF506" s="320"/>
      <c r="AG506" s="321"/>
    </row>
    <row r="507">
      <c r="AF507" s="320"/>
      <c r="AG507" s="321"/>
    </row>
    <row r="508">
      <c r="AF508" s="320"/>
      <c r="AG508" s="321"/>
    </row>
    <row r="509">
      <c r="AF509" s="320"/>
      <c r="AG509" s="321"/>
    </row>
    <row r="510">
      <c r="AF510" s="320"/>
      <c r="AG510" s="321"/>
    </row>
    <row r="511">
      <c r="AF511" s="320"/>
      <c r="AG511" s="321"/>
    </row>
    <row r="512">
      <c r="AF512" s="320"/>
      <c r="AG512" s="321"/>
    </row>
    <row r="513">
      <c r="AF513" s="320"/>
      <c r="AG513" s="321"/>
    </row>
    <row r="514">
      <c r="AF514" s="320"/>
      <c r="AG514" s="321"/>
    </row>
    <row r="515">
      <c r="AF515" s="320"/>
      <c r="AG515" s="321"/>
    </row>
    <row r="516">
      <c r="AF516" s="320"/>
      <c r="AG516" s="321"/>
    </row>
    <row r="517">
      <c r="AF517" s="320"/>
      <c r="AG517" s="321"/>
    </row>
    <row r="518">
      <c r="AF518" s="320"/>
      <c r="AG518" s="321"/>
    </row>
    <row r="519">
      <c r="AF519" s="320"/>
      <c r="AG519" s="321"/>
    </row>
    <row r="520">
      <c r="AF520" s="320"/>
      <c r="AG520" s="321"/>
    </row>
    <row r="521">
      <c r="AF521" s="320"/>
      <c r="AG521" s="321"/>
    </row>
    <row r="522">
      <c r="AF522" s="320"/>
      <c r="AG522" s="321"/>
    </row>
    <row r="523">
      <c r="AF523" s="320"/>
      <c r="AG523" s="321"/>
    </row>
    <row r="524">
      <c r="AF524" s="320"/>
      <c r="AG524" s="321"/>
    </row>
    <row r="525">
      <c r="AF525" s="320"/>
      <c r="AG525" s="321"/>
    </row>
    <row r="526">
      <c r="AF526" s="320"/>
      <c r="AG526" s="321"/>
    </row>
    <row r="527">
      <c r="AF527" s="320"/>
      <c r="AG527" s="321"/>
    </row>
    <row r="528">
      <c r="AF528" s="320"/>
      <c r="AG528" s="321"/>
    </row>
    <row r="529">
      <c r="AF529" s="320"/>
      <c r="AG529" s="321"/>
    </row>
    <row r="530">
      <c r="AF530" s="320"/>
      <c r="AG530" s="321"/>
    </row>
    <row r="531">
      <c r="AF531" s="320"/>
      <c r="AG531" s="321"/>
    </row>
    <row r="532">
      <c r="AF532" s="320"/>
      <c r="AG532" s="321"/>
    </row>
    <row r="533">
      <c r="AF533" s="320"/>
      <c r="AG533" s="321"/>
    </row>
    <row r="534">
      <c r="AF534" s="320"/>
      <c r="AG534" s="321"/>
    </row>
    <row r="535">
      <c r="AF535" s="320"/>
      <c r="AG535" s="321"/>
    </row>
    <row r="536">
      <c r="AF536" s="320"/>
      <c r="AG536" s="321"/>
    </row>
    <row r="537">
      <c r="AF537" s="320"/>
      <c r="AG537" s="321"/>
    </row>
    <row r="538">
      <c r="AF538" s="320"/>
      <c r="AG538" s="321"/>
    </row>
    <row r="539">
      <c r="AF539" s="320"/>
      <c r="AG539" s="321"/>
    </row>
    <row r="540">
      <c r="AF540" s="320"/>
      <c r="AG540" s="321"/>
    </row>
    <row r="541">
      <c r="AF541" s="320"/>
      <c r="AG541" s="321"/>
    </row>
    <row r="542">
      <c r="AF542" s="320"/>
      <c r="AG542" s="321"/>
    </row>
    <row r="543">
      <c r="AF543" s="320"/>
      <c r="AG543" s="321"/>
    </row>
    <row r="544">
      <c r="AF544" s="320"/>
      <c r="AG544" s="321"/>
    </row>
    <row r="545">
      <c r="AF545" s="320"/>
      <c r="AG545" s="321"/>
    </row>
    <row r="546">
      <c r="AF546" s="320"/>
      <c r="AG546" s="321"/>
    </row>
    <row r="547">
      <c r="AF547" s="320"/>
      <c r="AG547" s="321"/>
    </row>
    <row r="548">
      <c r="AF548" s="320"/>
      <c r="AG548" s="321"/>
    </row>
    <row r="549">
      <c r="AF549" s="320"/>
      <c r="AG549" s="321"/>
    </row>
    <row r="550">
      <c r="AF550" s="320"/>
      <c r="AG550" s="321"/>
    </row>
    <row r="551">
      <c r="AF551" s="320"/>
      <c r="AG551" s="321"/>
    </row>
    <row r="552">
      <c r="AF552" s="320"/>
      <c r="AG552" s="321"/>
    </row>
    <row r="553">
      <c r="AF553" s="320"/>
      <c r="AG553" s="321"/>
    </row>
    <row r="554">
      <c r="AF554" s="320"/>
      <c r="AG554" s="321"/>
    </row>
    <row r="555">
      <c r="AF555" s="320"/>
      <c r="AG555" s="321"/>
    </row>
    <row r="556">
      <c r="AF556" s="320"/>
      <c r="AG556" s="321"/>
    </row>
    <row r="557">
      <c r="AF557" s="320"/>
      <c r="AG557" s="321"/>
    </row>
    <row r="558">
      <c r="AF558" s="320"/>
      <c r="AG558" s="321"/>
    </row>
    <row r="559">
      <c r="AF559" s="320"/>
      <c r="AG559" s="321"/>
    </row>
    <row r="560">
      <c r="AF560" s="320"/>
      <c r="AG560" s="321"/>
    </row>
    <row r="561">
      <c r="AF561" s="320"/>
      <c r="AG561" s="321"/>
    </row>
    <row r="562">
      <c r="AF562" s="320"/>
      <c r="AG562" s="321"/>
    </row>
    <row r="563">
      <c r="AF563" s="320"/>
      <c r="AG563" s="321"/>
    </row>
    <row r="564">
      <c r="AF564" s="320"/>
      <c r="AG564" s="321"/>
    </row>
    <row r="565">
      <c r="AF565" s="320"/>
      <c r="AG565" s="321"/>
    </row>
    <row r="566">
      <c r="AF566" s="320"/>
      <c r="AG566" s="321"/>
    </row>
    <row r="567">
      <c r="AF567" s="320"/>
      <c r="AG567" s="321"/>
    </row>
    <row r="568">
      <c r="AF568" s="320"/>
      <c r="AG568" s="321"/>
    </row>
    <row r="569">
      <c r="AF569" s="320"/>
      <c r="AG569" s="321"/>
    </row>
    <row r="570">
      <c r="AF570" s="320"/>
      <c r="AG570" s="321"/>
    </row>
    <row r="571">
      <c r="AF571" s="320"/>
      <c r="AG571" s="321"/>
    </row>
    <row r="572">
      <c r="AF572" s="320"/>
      <c r="AG572" s="321"/>
    </row>
    <row r="573">
      <c r="AF573" s="320"/>
      <c r="AG573" s="321"/>
    </row>
    <row r="574">
      <c r="AF574" s="320"/>
      <c r="AG574" s="321"/>
    </row>
    <row r="575">
      <c r="AF575" s="320"/>
      <c r="AG575" s="321"/>
    </row>
    <row r="576">
      <c r="AF576" s="320"/>
      <c r="AG576" s="321"/>
    </row>
    <row r="577">
      <c r="AF577" s="320"/>
      <c r="AG577" s="321"/>
    </row>
    <row r="578">
      <c r="AF578" s="320"/>
      <c r="AG578" s="321"/>
    </row>
    <row r="579">
      <c r="AF579" s="320"/>
      <c r="AG579" s="321"/>
    </row>
    <row r="580">
      <c r="AF580" s="320"/>
      <c r="AG580" s="321"/>
    </row>
    <row r="581">
      <c r="AF581" s="320"/>
      <c r="AG581" s="321"/>
    </row>
    <row r="582">
      <c r="AF582" s="320"/>
      <c r="AG582" s="321"/>
    </row>
    <row r="583">
      <c r="AF583" s="320"/>
      <c r="AG583" s="321"/>
    </row>
    <row r="584">
      <c r="AF584" s="320"/>
      <c r="AG584" s="321"/>
    </row>
    <row r="585">
      <c r="AF585" s="320"/>
      <c r="AG585" s="321"/>
    </row>
    <row r="586">
      <c r="AF586" s="320"/>
      <c r="AG586" s="321"/>
    </row>
    <row r="587">
      <c r="AF587" s="320"/>
      <c r="AG587" s="321"/>
    </row>
    <row r="588">
      <c r="AF588" s="320"/>
      <c r="AG588" s="321"/>
    </row>
    <row r="589">
      <c r="AF589" s="320"/>
      <c r="AG589" s="321"/>
    </row>
    <row r="590">
      <c r="AF590" s="320"/>
      <c r="AG590" s="321"/>
    </row>
    <row r="591">
      <c r="AF591" s="320"/>
      <c r="AG591" s="321"/>
    </row>
    <row r="592">
      <c r="AF592" s="320"/>
      <c r="AG592" s="321"/>
    </row>
    <row r="593">
      <c r="AF593" s="320"/>
      <c r="AG593" s="321"/>
    </row>
    <row r="594">
      <c r="AF594" s="320"/>
      <c r="AG594" s="321"/>
    </row>
    <row r="595">
      <c r="AF595" s="320"/>
      <c r="AG595" s="321"/>
    </row>
    <row r="596">
      <c r="AF596" s="320"/>
      <c r="AG596" s="321"/>
    </row>
    <row r="597">
      <c r="AF597" s="320"/>
      <c r="AG597" s="321"/>
    </row>
    <row r="598">
      <c r="AF598" s="320"/>
      <c r="AG598" s="321"/>
    </row>
    <row r="599">
      <c r="AF599" s="320"/>
      <c r="AG599" s="321"/>
    </row>
    <row r="600">
      <c r="AF600" s="320"/>
      <c r="AG600" s="321"/>
    </row>
    <row r="601">
      <c r="AF601" s="320"/>
      <c r="AG601" s="321"/>
    </row>
    <row r="602">
      <c r="AF602" s="320"/>
      <c r="AG602" s="321"/>
    </row>
    <row r="603">
      <c r="AF603" s="320"/>
      <c r="AG603" s="321"/>
    </row>
    <row r="604">
      <c r="AF604" s="320"/>
      <c r="AG604" s="321"/>
    </row>
    <row r="605">
      <c r="AF605" s="320"/>
      <c r="AG605" s="321"/>
    </row>
    <row r="606">
      <c r="AF606" s="320"/>
      <c r="AG606" s="321"/>
    </row>
    <row r="607">
      <c r="AF607" s="320"/>
      <c r="AG607" s="321"/>
    </row>
    <row r="608">
      <c r="AF608" s="320"/>
      <c r="AG608" s="321"/>
    </row>
    <row r="609">
      <c r="AF609" s="320"/>
      <c r="AG609" s="321"/>
    </row>
    <row r="610">
      <c r="AF610" s="320"/>
      <c r="AG610" s="321"/>
    </row>
    <row r="611">
      <c r="AF611" s="320"/>
      <c r="AG611" s="321"/>
    </row>
    <row r="612">
      <c r="AF612" s="320"/>
      <c r="AG612" s="321"/>
    </row>
    <row r="613">
      <c r="AF613" s="320"/>
      <c r="AG613" s="321"/>
    </row>
    <row r="614">
      <c r="AF614" s="320"/>
      <c r="AG614" s="321"/>
    </row>
    <row r="615">
      <c r="AF615" s="320"/>
      <c r="AG615" s="321"/>
    </row>
    <row r="616">
      <c r="AF616" s="320"/>
      <c r="AG616" s="321"/>
    </row>
    <row r="617">
      <c r="AF617" s="320"/>
      <c r="AG617" s="321"/>
    </row>
    <row r="618">
      <c r="AF618" s="320"/>
      <c r="AG618" s="321"/>
    </row>
    <row r="619">
      <c r="AF619" s="320"/>
      <c r="AG619" s="321"/>
    </row>
    <row r="620">
      <c r="AF620" s="320"/>
      <c r="AG620" s="321"/>
    </row>
    <row r="621">
      <c r="AF621" s="320"/>
      <c r="AG621" s="321"/>
    </row>
    <row r="622">
      <c r="AF622" s="320"/>
      <c r="AG622" s="321"/>
    </row>
    <row r="623">
      <c r="AF623" s="320"/>
      <c r="AG623" s="321"/>
    </row>
    <row r="624">
      <c r="AF624" s="320"/>
      <c r="AG624" s="321"/>
    </row>
    <row r="625">
      <c r="AF625" s="320"/>
      <c r="AG625" s="321"/>
    </row>
    <row r="626">
      <c r="AF626" s="320"/>
      <c r="AG626" s="321"/>
    </row>
    <row r="627">
      <c r="AF627" s="320"/>
      <c r="AG627" s="321"/>
    </row>
    <row r="628">
      <c r="AF628" s="320"/>
      <c r="AG628" s="321"/>
    </row>
    <row r="629">
      <c r="AF629" s="320"/>
      <c r="AG629" s="321"/>
    </row>
    <row r="630">
      <c r="AF630" s="320"/>
      <c r="AG630" s="321"/>
    </row>
    <row r="631">
      <c r="AF631" s="320"/>
      <c r="AG631" s="321"/>
    </row>
    <row r="632">
      <c r="AF632" s="320"/>
      <c r="AG632" s="321"/>
    </row>
    <row r="633">
      <c r="AF633" s="320"/>
      <c r="AG633" s="321"/>
    </row>
    <row r="634">
      <c r="AF634" s="320"/>
      <c r="AG634" s="321"/>
    </row>
    <row r="635">
      <c r="AF635" s="320"/>
      <c r="AG635" s="321"/>
    </row>
    <row r="636">
      <c r="AF636" s="320"/>
      <c r="AG636" s="321"/>
    </row>
    <row r="637">
      <c r="AF637" s="320"/>
      <c r="AG637" s="321"/>
    </row>
    <row r="638">
      <c r="AF638" s="320"/>
      <c r="AG638" s="321"/>
    </row>
    <row r="639">
      <c r="AF639" s="320"/>
      <c r="AG639" s="321"/>
    </row>
    <row r="640">
      <c r="AF640" s="320"/>
      <c r="AG640" s="321"/>
    </row>
    <row r="641">
      <c r="AF641" s="320"/>
      <c r="AG641" s="321"/>
    </row>
    <row r="642">
      <c r="AF642" s="320"/>
      <c r="AG642" s="321"/>
    </row>
    <row r="643">
      <c r="AF643" s="320"/>
      <c r="AG643" s="321"/>
    </row>
    <row r="644">
      <c r="AF644" s="320"/>
      <c r="AG644" s="321"/>
    </row>
    <row r="645">
      <c r="AF645" s="320"/>
      <c r="AG645" s="321"/>
    </row>
    <row r="646">
      <c r="AF646" s="320"/>
      <c r="AG646" s="321"/>
    </row>
    <row r="647">
      <c r="AF647" s="320"/>
      <c r="AG647" s="321"/>
    </row>
    <row r="648">
      <c r="AF648" s="320"/>
      <c r="AG648" s="321"/>
    </row>
    <row r="649">
      <c r="AF649" s="320"/>
      <c r="AG649" s="321"/>
    </row>
    <row r="650">
      <c r="AF650" s="320"/>
      <c r="AG650" s="321"/>
    </row>
    <row r="651">
      <c r="AF651" s="320"/>
      <c r="AG651" s="321"/>
    </row>
    <row r="652">
      <c r="AF652" s="320"/>
      <c r="AG652" s="321"/>
    </row>
    <row r="653">
      <c r="AF653" s="320"/>
      <c r="AG653" s="321"/>
    </row>
    <row r="654">
      <c r="AF654" s="320"/>
      <c r="AG654" s="321"/>
    </row>
    <row r="655">
      <c r="AF655" s="320"/>
      <c r="AG655" s="321"/>
    </row>
    <row r="656">
      <c r="AF656" s="320"/>
      <c r="AG656" s="321"/>
    </row>
    <row r="657">
      <c r="AF657" s="320"/>
      <c r="AG657" s="321"/>
    </row>
    <row r="658">
      <c r="AF658" s="320"/>
      <c r="AG658" s="321"/>
    </row>
    <row r="659">
      <c r="AF659" s="320"/>
      <c r="AG659" s="321"/>
    </row>
    <row r="660">
      <c r="AF660" s="320"/>
      <c r="AG660" s="321"/>
    </row>
    <row r="661">
      <c r="AF661" s="320"/>
      <c r="AG661" s="321"/>
    </row>
    <row r="662">
      <c r="AF662" s="320"/>
      <c r="AG662" s="321"/>
    </row>
    <row r="663">
      <c r="AF663" s="320"/>
      <c r="AG663" s="321"/>
    </row>
    <row r="664">
      <c r="AF664" s="320"/>
      <c r="AG664" s="321"/>
    </row>
    <row r="665">
      <c r="AF665" s="320"/>
      <c r="AG665" s="321"/>
    </row>
    <row r="666">
      <c r="AF666" s="320"/>
      <c r="AG666" s="321"/>
    </row>
    <row r="667">
      <c r="AF667" s="320"/>
      <c r="AG667" s="321"/>
    </row>
    <row r="668">
      <c r="AF668" s="320"/>
      <c r="AG668" s="321"/>
    </row>
    <row r="669">
      <c r="AF669" s="320"/>
      <c r="AG669" s="321"/>
    </row>
    <row r="670">
      <c r="AF670" s="320"/>
      <c r="AG670" s="321"/>
    </row>
    <row r="671">
      <c r="AF671" s="320"/>
      <c r="AG671" s="321"/>
    </row>
    <row r="672">
      <c r="AF672" s="320"/>
      <c r="AG672" s="321"/>
    </row>
    <row r="673">
      <c r="AF673" s="320"/>
      <c r="AG673" s="321"/>
    </row>
    <row r="674">
      <c r="AF674" s="320"/>
      <c r="AG674" s="321"/>
    </row>
    <row r="675">
      <c r="AF675" s="320"/>
      <c r="AG675" s="321"/>
    </row>
    <row r="676">
      <c r="AF676" s="320"/>
      <c r="AG676" s="321"/>
    </row>
    <row r="677">
      <c r="AF677" s="320"/>
      <c r="AG677" s="321"/>
    </row>
    <row r="678">
      <c r="AF678" s="320"/>
      <c r="AG678" s="321"/>
    </row>
    <row r="679">
      <c r="AF679" s="320"/>
      <c r="AG679" s="321"/>
    </row>
    <row r="680">
      <c r="AF680" s="320"/>
      <c r="AG680" s="321"/>
    </row>
    <row r="681">
      <c r="AF681" s="320"/>
      <c r="AG681" s="321"/>
    </row>
    <row r="682">
      <c r="AF682" s="320"/>
      <c r="AG682" s="321"/>
    </row>
    <row r="683">
      <c r="AF683" s="320"/>
      <c r="AG683" s="321"/>
    </row>
    <row r="684">
      <c r="AF684" s="320"/>
      <c r="AG684" s="321"/>
    </row>
    <row r="685">
      <c r="AF685" s="320"/>
      <c r="AG685" s="321"/>
    </row>
    <row r="686">
      <c r="AF686" s="320"/>
      <c r="AG686" s="321"/>
    </row>
    <row r="687">
      <c r="AF687" s="320"/>
      <c r="AG687" s="321"/>
    </row>
    <row r="688">
      <c r="AF688" s="320"/>
      <c r="AG688" s="321"/>
    </row>
    <row r="689">
      <c r="AF689" s="320"/>
      <c r="AG689" s="321"/>
    </row>
    <row r="690">
      <c r="AF690" s="320"/>
      <c r="AG690" s="321"/>
    </row>
    <row r="691">
      <c r="AF691" s="320"/>
      <c r="AG691" s="321"/>
    </row>
    <row r="692">
      <c r="AF692" s="320"/>
      <c r="AG692" s="321"/>
    </row>
    <row r="693">
      <c r="AF693" s="320"/>
      <c r="AG693" s="321"/>
    </row>
    <row r="694">
      <c r="AF694" s="320"/>
      <c r="AG694" s="321"/>
    </row>
    <row r="695">
      <c r="AF695" s="320"/>
      <c r="AG695" s="321"/>
    </row>
    <row r="696">
      <c r="AF696" s="320"/>
      <c r="AG696" s="321"/>
    </row>
    <row r="697">
      <c r="AF697" s="320"/>
      <c r="AG697" s="321"/>
    </row>
    <row r="698">
      <c r="AF698" s="320"/>
      <c r="AG698" s="321"/>
    </row>
    <row r="699">
      <c r="AF699" s="320"/>
      <c r="AG699" s="321"/>
    </row>
    <row r="700">
      <c r="AF700" s="320"/>
      <c r="AG700" s="321"/>
    </row>
    <row r="701">
      <c r="AF701" s="320"/>
      <c r="AG701" s="321"/>
    </row>
    <row r="702">
      <c r="AF702" s="320"/>
      <c r="AG702" s="321"/>
    </row>
    <row r="703">
      <c r="AF703" s="320"/>
      <c r="AG703" s="321"/>
    </row>
    <row r="704">
      <c r="AF704" s="320"/>
      <c r="AG704" s="321"/>
    </row>
    <row r="705">
      <c r="AF705" s="320"/>
      <c r="AG705" s="321"/>
    </row>
    <row r="706">
      <c r="AF706" s="320"/>
      <c r="AG706" s="321"/>
    </row>
    <row r="707">
      <c r="AF707" s="320"/>
      <c r="AG707" s="321"/>
    </row>
    <row r="708">
      <c r="AF708" s="320"/>
      <c r="AG708" s="321"/>
    </row>
    <row r="709">
      <c r="AF709" s="320"/>
      <c r="AG709" s="321"/>
    </row>
    <row r="710">
      <c r="AF710" s="320"/>
      <c r="AG710" s="321"/>
    </row>
    <row r="711">
      <c r="AF711" s="320"/>
      <c r="AG711" s="321"/>
    </row>
    <row r="712">
      <c r="AF712" s="320"/>
      <c r="AG712" s="321"/>
    </row>
    <row r="713">
      <c r="AF713" s="320"/>
      <c r="AG713" s="321"/>
    </row>
    <row r="714">
      <c r="AF714" s="320"/>
      <c r="AG714" s="321"/>
    </row>
    <row r="715">
      <c r="AF715" s="320"/>
      <c r="AG715" s="321"/>
    </row>
    <row r="716">
      <c r="AF716" s="320"/>
      <c r="AG716" s="321"/>
    </row>
    <row r="717">
      <c r="AF717" s="320"/>
      <c r="AG717" s="321"/>
    </row>
    <row r="718">
      <c r="AF718" s="320"/>
      <c r="AG718" s="321"/>
    </row>
    <row r="719">
      <c r="AF719" s="320"/>
      <c r="AG719" s="321"/>
    </row>
    <row r="720">
      <c r="AF720" s="320"/>
      <c r="AG720" s="321"/>
    </row>
    <row r="721">
      <c r="AF721" s="320"/>
      <c r="AG721" s="321"/>
    </row>
    <row r="722">
      <c r="AF722" s="320"/>
      <c r="AG722" s="321"/>
    </row>
    <row r="723">
      <c r="AF723" s="320"/>
      <c r="AG723" s="321"/>
    </row>
    <row r="724">
      <c r="AF724" s="320"/>
      <c r="AG724" s="321"/>
    </row>
    <row r="725">
      <c r="AF725" s="320"/>
      <c r="AG725" s="321"/>
    </row>
    <row r="726">
      <c r="AF726" s="320"/>
      <c r="AG726" s="321"/>
    </row>
    <row r="727">
      <c r="AF727" s="320"/>
      <c r="AG727" s="321"/>
    </row>
    <row r="728">
      <c r="AF728" s="320"/>
      <c r="AG728" s="321"/>
    </row>
    <row r="729">
      <c r="AF729" s="320"/>
      <c r="AG729" s="321"/>
    </row>
    <row r="730">
      <c r="AF730" s="320"/>
      <c r="AG730" s="321"/>
    </row>
    <row r="731">
      <c r="AF731" s="320"/>
      <c r="AG731" s="321"/>
    </row>
    <row r="732">
      <c r="AF732" s="320"/>
      <c r="AG732" s="321"/>
    </row>
    <row r="733">
      <c r="AF733" s="320"/>
      <c r="AG733" s="321"/>
    </row>
    <row r="734">
      <c r="AF734" s="320"/>
      <c r="AG734" s="321"/>
    </row>
    <row r="735">
      <c r="AF735" s="320"/>
      <c r="AG735" s="321"/>
    </row>
    <row r="736">
      <c r="AF736" s="320"/>
      <c r="AG736" s="321"/>
    </row>
    <row r="737">
      <c r="AF737" s="320"/>
      <c r="AG737" s="321"/>
    </row>
    <row r="738">
      <c r="AF738" s="320"/>
      <c r="AG738" s="321"/>
    </row>
    <row r="739">
      <c r="AF739" s="320"/>
      <c r="AG739" s="321"/>
    </row>
    <row r="740">
      <c r="AF740" s="320"/>
      <c r="AG740" s="321"/>
    </row>
    <row r="741">
      <c r="AF741" s="320"/>
      <c r="AG741" s="321"/>
    </row>
    <row r="742">
      <c r="AF742" s="320"/>
      <c r="AG742" s="321"/>
    </row>
    <row r="743">
      <c r="AF743" s="320"/>
      <c r="AG743" s="321"/>
    </row>
    <row r="744">
      <c r="AF744" s="320"/>
      <c r="AG744" s="321"/>
    </row>
    <row r="745">
      <c r="AF745" s="320"/>
      <c r="AG745" s="321"/>
    </row>
    <row r="746">
      <c r="AF746" s="320"/>
      <c r="AG746" s="321"/>
    </row>
    <row r="747">
      <c r="AF747" s="320"/>
      <c r="AG747" s="321"/>
    </row>
    <row r="748">
      <c r="AF748" s="320"/>
      <c r="AG748" s="321"/>
    </row>
    <row r="749">
      <c r="AF749" s="320"/>
      <c r="AG749" s="321"/>
    </row>
    <row r="750">
      <c r="AF750" s="320"/>
      <c r="AG750" s="321"/>
    </row>
    <row r="751">
      <c r="AF751" s="320"/>
      <c r="AG751" s="321"/>
    </row>
    <row r="752">
      <c r="AF752" s="320"/>
      <c r="AG752" s="321"/>
    </row>
    <row r="753">
      <c r="AF753" s="320"/>
      <c r="AG753" s="321"/>
    </row>
    <row r="754">
      <c r="AF754" s="320"/>
      <c r="AG754" s="321"/>
    </row>
    <row r="755">
      <c r="AF755" s="320"/>
      <c r="AG755" s="321"/>
    </row>
    <row r="756">
      <c r="AF756" s="320"/>
      <c r="AG756" s="321"/>
    </row>
    <row r="757">
      <c r="AF757" s="320"/>
      <c r="AG757" s="321"/>
    </row>
    <row r="758">
      <c r="AF758" s="320"/>
      <c r="AG758" s="321"/>
    </row>
    <row r="759">
      <c r="AF759" s="320"/>
      <c r="AG759" s="321"/>
    </row>
    <row r="760">
      <c r="AF760" s="320"/>
      <c r="AG760" s="321"/>
    </row>
    <row r="761">
      <c r="AF761" s="320"/>
      <c r="AG761" s="321"/>
    </row>
    <row r="762">
      <c r="AF762" s="320"/>
      <c r="AG762" s="321"/>
    </row>
    <row r="763">
      <c r="AF763" s="320"/>
      <c r="AG763" s="321"/>
    </row>
    <row r="764">
      <c r="AF764" s="320"/>
      <c r="AG764" s="321"/>
    </row>
    <row r="765">
      <c r="AF765" s="320"/>
      <c r="AG765" s="321"/>
    </row>
    <row r="766">
      <c r="AF766" s="320"/>
      <c r="AG766" s="321"/>
    </row>
    <row r="767">
      <c r="AF767" s="320"/>
      <c r="AG767" s="321"/>
    </row>
    <row r="768">
      <c r="AF768" s="320"/>
      <c r="AG768" s="321"/>
    </row>
    <row r="769">
      <c r="AF769" s="320"/>
      <c r="AG769" s="321"/>
    </row>
    <row r="770">
      <c r="AF770" s="320"/>
      <c r="AG770" s="321"/>
    </row>
    <row r="771">
      <c r="AF771" s="320"/>
      <c r="AG771" s="321"/>
    </row>
    <row r="772">
      <c r="AF772" s="320"/>
      <c r="AG772" s="321"/>
    </row>
    <row r="773">
      <c r="AF773" s="320"/>
      <c r="AG773" s="321"/>
    </row>
    <row r="774">
      <c r="AF774" s="320"/>
      <c r="AG774" s="321"/>
    </row>
    <row r="775">
      <c r="AF775" s="320"/>
      <c r="AG775" s="321"/>
    </row>
    <row r="776">
      <c r="AF776" s="320"/>
      <c r="AG776" s="321"/>
    </row>
    <row r="777">
      <c r="AF777" s="320"/>
      <c r="AG777" s="321"/>
    </row>
    <row r="778">
      <c r="AF778" s="320"/>
      <c r="AG778" s="321"/>
    </row>
    <row r="779">
      <c r="AF779" s="320"/>
      <c r="AG779" s="321"/>
    </row>
    <row r="780">
      <c r="AF780" s="320"/>
      <c r="AG780" s="321"/>
    </row>
    <row r="781">
      <c r="AF781" s="320"/>
      <c r="AG781" s="321"/>
    </row>
    <row r="782">
      <c r="AF782" s="320"/>
      <c r="AG782" s="321"/>
    </row>
    <row r="783">
      <c r="AF783" s="320"/>
      <c r="AG783" s="321"/>
    </row>
    <row r="784">
      <c r="AF784" s="320"/>
      <c r="AG784" s="321"/>
    </row>
    <row r="785">
      <c r="AF785" s="320"/>
      <c r="AG785" s="321"/>
    </row>
    <row r="786">
      <c r="AF786" s="320"/>
      <c r="AG786" s="321"/>
    </row>
    <row r="787">
      <c r="AF787" s="320"/>
      <c r="AG787" s="321"/>
    </row>
    <row r="788">
      <c r="AF788" s="320"/>
      <c r="AG788" s="321"/>
    </row>
    <row r="789">
      <c r="AF789" s="320"/>
      <c r="AG789" s="321"/>
    </row>
    <row r="790">
      <c r="AF790" s="320"/>
      <c r="AG790" s="321"/>
    </row>
    <row r="791">
      <c r="AF791" s="320"/>
      <c r="AG791" s="321"/>
    </row>
    <row r="792">
      <c r="AF792" s="320"/>
      <c r="AG792" s="321"/>
    </row>
    <row r="793">
      <c r="AF793" s="320"/>
      <c r="AG793" s="321"/>
    </row>
    <row r="794">
      <c r="AF794" s="320"/>
      <c r="AG794" s="321"/>
    </row>
    <row r="795">
      <c r="AF795" s="320"/>
      <c r="AG795" s="321"/>
    </row>
    <row r="796">
      <c r="AF796" s="320"/>
      <c r="AG796" s="321"/>
    </row>
    <row r="797">
      <c r="AF797" s="320"/>
      <c r="AG797" s="321"/>
    </row>
    <row r="798">
      <c r="AF798" s="320"/>
      <c r="AG798" s="321"/>
    </row>
    <row r="799">
      <c r="AF799" s="320"/>
      <c r="AG799" s="321"/>
    </row>
    <row r="800">
      <c r="AF800" s="320"/>
      <c r="AG800" s="321"/>
    </row>
    <row r="801">
      <c r="AF801" s="320"/>
      <c r="AG801" s="321"/>
    </row>
    <row r="802">
      <c r="AF802" s="320"/>
      <c r="AG802" s="321"/>
    </row>
    <row r="803">
      <c r="AF803" s="320"/>
      <c r="AG803" s="321"/>
    </row>
    <row r="804">
      <c r="AF804" s="320"/>
      <c r="AG804" s="321"/>
    </row>
    <row r="805">
      <c r="AF805" s="320"/>
      <c r="AG805" s="321"/>
    </row>
    <row r="806">
      <c r="AF806" s="320"/>
      <c r="AG806" s="321"/>
    </row>
    <row r="807">
      <c r="AF807" s="320"/>
      <c r="AG807" s="321"/>
    </row>
    <row r="808">
      <c r="AF808" s="320"/>
      <c r="AG808" s="321"/>
    </row>
    <row r="809">
      <c r="AF809" s="320"/>
      <c r="AG809" s="321"/>
    </row>
    <row r="810">
      <c r="AF810" s="320"/>
      <c r="AG810" s="321"/>
    </row>
    <row r="811">
      <c r="AF811" s="320"/>
      <c r="AG811" s="321"/>
    </row>
    <row r="812">
      <c r="AF812" s="320"/>
      <c r="AG812" s="321"/>
    </row>
    <row r="813">
      <c r="AF813" s="320"/>
      <c r="AG813" s="321"/>
    </row>
    <row r="814">
      <c r="AF814" s="320"/>
      <c r="AG814" s="321"/>
    </row>
    <row r="815">
      <c r="AF815" s="320"/>
      <c r="AG815" s="321"/>
    </row>
    <row r="816">
      <c r="AF816" s="320"/>
      <c r="AG816" s="321"/>
    </row>
    <row r="817">
      <c r="AF817" s="320"/>
      <c r="AG817" s="321"/>
    </row>
    <row r="818">
      <c r="AF818" s="320"/>
      <c r="AG818" s="321"/>
    </row>
    <row r="819">
      <c r="AF819" s="320"/>
      <c r="AG819" s="321"/>
    </row>
    <row r="820">
      <c r="AF820" s="320"/>
      <c r="AG820" s="321"/>
    </row>
    <row r="821">
      <c r="AF821" s="320"/>
      <c r="AG821" s="321"/>
    </row>
    <row r="822">
      <c r="AF822" s="320"/>
      <c r="AG822" s="321"/>
    </row>
    <row r="823">
      <c r="AF823" s="320"/>
      <c r="AG823" s="321"/>
    </row>
    <row r="824">
      <c r="AF824" s="320"/>
      <c r="AG824" s="321"/>
    </row>
    <row r="825">
      <c r="AF825" s="320"/>
      <c r="AG825" s="321"/>
    </row>
    <row r="826">
      <c r="AF826" s="320"/>
      <c r="AG826" s="321"/>
    </row>
    <row r="827">
      <c r="AF827" s="320"/>
      <c r="AG827" s="321"/>
    </row>
    <row r="828">
      <c r="AF828" s="320"/>
      <c r="AG828" s="321"/>
    </row>
    <row r="829">
      <c r="AF829" s="320"/>
      <c r="AG829" s="321"/>
    </row>
    <row r="830">
      <c r="AF830" s="320"/>
      <c r="AG830" s="321"/>
    </row>
    <row r="831">
      <c r="AF831" s="320"/>
      <c r="AG831" s="321"/>
    </row>
    <row r="832">
      <c r="AF832" s="320"/>
      <c r="AG832" s="321"/>
    </row>
    <row r="833">
      <c r="AF833" s="320"/>
      <c r="AG833" s="321"/>
    </row>
    <row r="834">
      <c r="AF834" s="320"/>
      <c r="AG834" s="321"/>
    </row>
    <row r="835">
      <c r="AF835" s="320"/>
      <c r="AG835" s="321"/>
    </row>
    <row r="836">
      <c r="AF836" s="320"/>
      <c r="AG836" s="321"/>
    </row>
    <row r="837">
      <c r="AF837" s="320"/>
      <c r="AG837" s="321"/>
    </row>
    <row r="838">
      <c r="AF838" s="320"/>
      <c r="AG838" s="321"/>
    </row>
    <row r="839">
      <c r="AF839" s="320"/>
      <c r="AG839" s="321"/>
    </row>
    <row r="840">
      <c r="AF840" s="320"/>
      <c r="AG840" s="321"/>
    </row>
    <row r="841">
      <c r="AF841" s="320"/>
      <c r="AG841" s="321"/>
    </row>
    <row r="842">
      <c r="AF842" s="320"/>
      <c r="AG842" s="321"/>
    </row>
    <row r="843">
      <c r="AF843" s="320"/>
      <c r="AG843" s="321"/>
    </row>
    <row r="844">
      <c r="AF844" s="320"/>
      <c r="AG844" s="321"/>
    </row>
    <row r="845">
      <c r="AF845" s="320"/>
      <c r="AG845" s="321"/>
    </row>
    <row r="846">
      <c r="AF846" s="320"/>
      <c r="AG846" s="321"/>
    </row>
    <row r="847">
      <c r="AF847" s="320"/>
      <c r="AG847" s="321"/>
    </row>
    <row r="848">
      <c r="AF848" s="320"/>
      <c r="AG848" s="321"/>
    </row>
    <row r="849">
      <c r="AF849" s="320"/>
      <c r="AG849" s="321"/>
    </row>
    <row r="850">
      <c r="AF850" s="320"/>
      <c r="AG850" s="321"/>
    </row>
    <row r="851">
      <c r="AF851" s="320"/>
      <c r="AG851" s="321"/>
    </row>
    <row r="852">
      <c r="AF852" s="320"/>
      <c r="AG852" s="321"/>
    </row>
    <row r="853">
      <c r="AF853" s="320"/>
      <c r="AG853" s="321"/>
    </row>
    <row r="854">
      <c r="AF854" s="320"/>
      <c r="AG854" s="321"/>
    </row>
    <row r="855">
      <c r="AF855" s="320"/>
      <c r="AG855" s="321"/>
    </row>
    <row r="856">
      <c r="AF856" s="320"/>
      <c r="AG856" s="321"/>
    </row>
    <row r="857">
      <c r="AF857" s="320"/>
      <c r="AG857" s="321"/>
    </row>
    <row r="858">
      <c r="AF858" s="320"/>
      <c r="AG858" s="321"/>
    </row>
    <row r="859">
      <c r="AF859" s="320"/>
      <c r="AG859" s="321"/>
    </row>
    <row r="860">
      <c r="AF860" s="320"/>
      <c r="AG860" s="321"/>
    </row>
    <row r="861">
      <c r="AF861" s="320"/>
      <c r="AG861" s="321"/>
    </row>
    <row r="862">
      <c r="AF862" s="320"/>
      <c r="AG862" s="321"/>
    </row>
    <row r="863">
      <c r="AF863" s="320"/>
      <c r="AG863" s="321"/>
    </row>
    <row r="864">
      <c r="AF864" s="320"/>
      <c r="AG864" s="321"/>
    </row>
    <row r="865">
      <c r="AF865" s="320"/>
      <c r="AG865" s="321"/>
    </row>
    <row r="866">
      <c r="AF866" s="320"/>
      <c r="AG866" s="321"/>
    </row>
    <row r="867">
      <c r="AF867" s="320"/>
      <c r="AG867" s="321"/>
    </row>
    <row r="868">
      <c r="AF868" s="320"/>
      <c r="AG868" s="321"/>
    </row>
    <row r="869">
      <c r="AF869" s="320"/>
      <c r="AG869" s="321"/>
    </row>
    <row r="870">
      <c r="AF870" s="320"/>
      <c r="AG870" s="321"/>
    </row>
    <row r="871">
      <c r="AF871" s="320"/>
      <c r="AG871" s="321"/>
    </row>
    <row r="872">
      <c r="AF872" s="320"/>
      <c r="AG872" s="321"/>
    </row>
    <row r="873">
      <c r="AF873" s="320"/>
      <c r="AG873" s="321"/>
    </row>
    <row r="874">
      <c r="AF874" s="320"/>
      <c r="AG874" s="321"/>
    </row>
    <row r="875">
      <c r="AF875" s="320"/>
      <c r="AG875" s="321"/>
    </row>
    <row r="876">
      <c r="AF876" s="320"/>
      <c r="AG876" s="321"/>
    </row>
    <row r="877">
      <c r="AF877" s="320"/>
      <c r="AG877" s="321"/>
    </row>
    <row r="878">
      <c r="AF878" s="320"/>
      <c r="AG878" s="321"/>
    </row>
    <row r="879">
      <c r="AF879" s="320"/>
      <c r="AG879" s="321"/>
    </row>
    <row r="880">
      <c r="AF880" s="320"/>
      <c r="AG880" s="321"/>
    </row>
    <row r="881">
      <c r="AF881" s="320"/>
      <c r="AG881" s="321"/>
    </row>
    <row r="882">
      <c r="AF882" s="320"/>
      <c r="AG882" s="321"/>
    </row>
    <row r="883">
      <c r="AF883" s="320"/>
      <c r="AG883" s="321"/>
    </row>
    <row r="884">
      <c r="AF884" s="320"/>
      <c r="AG884" s="321"/>
    </row>
    <row r="885">
      <c r="AF885" s="320"/>
      <c r="AG885" s="321"/>
    </row>
    <row r="886">
      <c r="AF886" s="320"/>
      <c r="AG886" s="321"/>
    </row>
    <row r="887">
      <c r="AF887" s="320"/>
      <c r="AG887" s="321"/>
    </row>
    <row r="888">
      <c r="AF888" s="320"/>
      <c r="AG888" s="321"/>
    </row>
    <row r="889">
      <c r="AF889" s="320"/>
      <c r="AG889" s="321"/>
    </row>
    <row r="890">
      <c r="AF890" s="320"/>
      <c r="AG890" s="321"/>
    </row>
    <row r="891">
      <c r="AF891" s="320"/>
      <c r="AG891" s="321"/>
    </row>
    <row r="892">
      <c r="AF892" s="320"/>
      <c r="AG892" s="321"/>
    </row>
    <row r="893">
      <c r="AF893" s="320"/>
      <c r="AG893" s="321"/>
    </row>
    <row r="894">
      <c r="AF894" s="320"/>
      <c r="AG894" s="321"/>
    </row>
    <row r="895">
      <c r="AF895" s="320"/>
      <c r="AG895" s="321"/>
    </row>
    <row r="896">
      <c r="AF896" s="320"/>
      <c r="AG896" s="321"/>
    </row>
    <row r="897">
      <c r="AF897" s="320"/>
      <c r="AG897" s="321"/>
    </row>
    <row r="898">
      <c r="AF898" s="320"/>
      <c r="AG898" s="321"/>
    </row>
    <row r="899">
      <c r="AF899" s="320"/>
      <c r="AG899" s="321"/>
    </row>
    <row r="900">
      <c r="AF900" s="320"/>
      <c r="AG900" s="321"/>
    </row>
    <row r="901">
      <c r="AF901" s="320"/>
      <c r="AG901" s="321"/>
    </row>
    <row r="902">
      <c r="AF902" s="320"/>
      <c r="AG902" s="321"/>
    </row>
    <row r="903">
      <c r="AF903" s="320"/>
      <c r="AG903" s="321"/>
    </row>
    <row r="904">
      <c r="AF904" s="320"/>
      <c r="AG904" s="321"/>
    </row>
    <row r="905">
      <c r="AF905" s="320"/>
      <c r="AG905" s="321"/>
    </row>
    <row r="906">
      <c r="AF906" s="320"/>
      <c r="AG906" s="321"/>
    </row>
    <row r="907">
      <c r="AF907" s="320"/>
      <c r="AG907" s="321"/>
    </row>
    <row r="908">
      <c r="AF908" s="320"/>
      <c r="AG908" s="321"/>
    </row>
    <row r="909">
      <c r="AF909" s="320"/>
      <c r="AG909" s="321"/>
    </row>
    <row r="910">
      <c r="AF910" s="320"/>
      <c r="AG910" s="321"/>
    </row>
    <row r="911">
      <c r="AF911" s="320"/>
      <c r="AG911" s="321"/>
    </row>
    <row r="912">
      <c r="AF912" s="320"/>
      <c r="AG912" s="321"/>
    </row>
    <row r="913">
      <c r="AF913" s="320"/>
      <c r="AG913" s="321"/>
    </row>
    <row r="914">
      <c r="AF914" s="320"/>
      <c r="AG914" s="321"/>
    </row>
    <row r="915">
      <c r="AF915" s="320"/>
      <c r="AG915" s="321"/>
    </row>
    <row r="916">
      <c r="AF916" s="320"/>
      <c r="AG916" s="321"/>
    </row>
    <row r="917">
      <c r="AF917" s="320"/>
      <c r="AG917" s="321"/>
    </row>
    <row r="918">
      <c r="AF918" s="320"/>
      <c r="AG918" s="321"/>
    </row>
    <row r="919">
      <c r="AF919" s="320"/>
      <c r="AG919" s="321"/>
    </row>
    <row r="920">
      <c r="AF920" s="320"/>
      <c r="AG920" s="321"/>
    </row>
    <row r="921">
      <c r="AF921" s="320"/>
      <c r="AG921" s="321"/>
    </row>
    <row r="922">
      <c r="AF922" s="320"/>
      <c r="AG922" s="321"/>
    </row>
    <row r="923">
      <c r="AF923" s="320"/>
      <c r="AG923" s="321"/>
    </row>
    <row r="924">
      <c r="AF924" s="320"/>
      <c r="AG924" s="321"/>
    </row>
    <row r="925">
      <c r="AF925" s="320"/>
      <c r="AG925" s="321"/>
    </row>
    <row r="926">
      <c r="AF926" s="320"/>
      <c r="AG926" s="321"/>
    </row>
    <row r="927">
      <c r="AF927" s="320"/>
      <c r="AG927" s="321"/>
    </row>
    <row r="928">
      <c r="AF928" s="320"/>
      <c r="AG928" s="321"/>
    </row>
    <row r="929">
      <c r="AF929" s="320"/>
      <c r="AG929" s="321"/>
    </row>
    <row r="930">
      <c r="AF930" s="320"/>
      <c r="AG930" s="321"/>
    </row>
    <row r="931">
      <c r="AF931" s="320"/>
      <c r="AG931" s="321"/>
    </row>
    <row r="932">
      <c r="AF932" s="320"/>
      <c r="AG932" s="321"/>
    </row>
    <row r="933">
      <c r="AF933" s="320"/>
      <c r="AG933" s="321"/>
    </row>
    <row r="934">
      <c r="AF934" s="320"/>
      <c r="AG934" s="321"/>
    </row>
    <row r="935">
      <c r="AF935" s="320"/>
      <c r="AG935" s="321"/>
    </row>
    <row r="936">
      <c r="AF936" s="320"/>
      <c r="AG936" s="321"/>
    </row>
    <row r="937">
      <c r="AF937" s="320"/>
      <c r="AG937" s="321"/>
    </row>
    <row r="938">
      <c r="AF938" s="320"/>
      <c r="AG938" s="321"/>
    </row>
    <row r="939">
      <c r="AF939" s="320"/>
      <c r="AG939" s="321"/>
    </row>
    <row r="940">
      <c r="AF940" s="320"/>
      <c r="AG940" s="321"/>
    </row>
    <row r="941">
      <c r="AF941" s="320"/>
      <c r="AG941" s="321"/>
    </row>
    <row r="942">
      <c r="AF942" s="320"/>
      <c r="AG942" s="321"/>
    </row>
    <row r="943">
      <c r="AF943" s="320"/>
      <c r="AG943" s="321"/>
    </row>
    <row r="944">
      <c r="AF944" s="320"/>
      <c r="AG944" s="321"/>
    </row>
    <row r="945">
      <c r="AF945" s="320"/>
      <c r="AG945" s="321"/>
    </row>
    <row r="946">
      <c r="AF946" s="320"/>
      <c r="AG946" s="321"/>
    </row>
    <row r="947">
      <c r="AF947" s="320"/>
      <c r="AG947" s="321"/>
    </row>
    <row r="948">
      <c r="AF948" s="320"/>
      <c r="AG948" s="321"/>
    </row>
    <row r="949">
      <c r="AF949" s="320"/>
      <c r="AG949" s="321"/>
    </row>
    <row r="950">
      <c r="AF950" s="320"/>
      <c r="AG950" s="321"/>
    </row>
    <row r="951">
      <c r="AF951" s="320"/>
      <c r="AG951" s="321"/>
    </row>
    <row r="952">
      <c r="AF952" s="320"/>
      <c r="AG952" s="321"/>
    </row>
    <row r="953">
      <c r="AF953" s="320"/>
      <c r="AG953" s="321"/>
    </row>
    <row r="954">
      <c r="AF954" s="320"/>
      <c r="AG954" s="321"/>
    </row>
    <row r="955">
      <c r="AF955" s="320"/>
      <c r="AG955" s="321"/>
    </row>
    <row r="956">
      <c r="AF956" s="320"/>
      <c r="AG956" s="321"/>
    </row>
    <row r="957">
      <c r="AF957" s="320"/>
      <c r="AG957" s="321"/>
    </row>
    <row r="958">
      <c r="AF958" s="320"/>
      <c r="AG958" s="321"/>
    </row>
    <row r="959">
      <c r="AF959" s="320"/>
      <c r="AG959" s="321"/>
    </row>
    <row r="960">
      <c r="AF960" s="320"/>
      <c r="AG960" s="321"/>
    </row>
    <row r="961">
      <c r="AF961" s="320"/>
      <c r="AG961" s="321"/>
    </row>
    <row r="962">
      <c r="AF962" s="320"/>
      <c r="AG962" s="321"/>
    </row>
    <row r="963">
      <c r="AF963" s="320"/>
      <c r="AG963" s="321"/>
    </row>
    <row r="964">
      <c r="AF964" s="320"/>
      <c r="AG964" s="321"/>
    </row>
    <row r="965">
      <c r="AF965" s="320"/>
      <c r="AG965" s="321"/>
    </row>
    <row r="966">
      <c r="AF966" s="320"/>
      <c r="AG966" s="321"/>
    </row>
    <row r="967">
      <c r="AF967" s="320"/>
      <c r="AG967" s="321"/>
    </row>
    <row r="968">
      <c r="AF968" s="320"/>
      <c r="AG968" s="321"/>
    </row>
    <row r="969">
      <c r="AF969" s="320"/>
      <c r="AG969" s="321"/>
    </row>
    <row r="970">
      <c r="AF970" s="320"/>
      <c r="AG970" s="321"/>
    </row>
    <row r="971">
      <c r="AF971" s="320"/>
      <c r="AG971" s="321"/>
    </row>
    <row r="972">
      <c r="AF972" s="320"/>
      <c r="AG972" s="321"/>
    </row>
    <row r="973">
      <c r="AF973" s="320"/>
      <c r="AG973" s="321"/>
    </row>
    <row r="974">
      <c r="AF974" s="320"/>
      <c r="AG974" s="321"/>
    </row>
    <row r="975">
      <c r="AF975" s="320"/>
      <c r="AG975" s="321"/>
    </row>
    <row r="976">
      <c r="AF976" s="320"/>
      <c r="AG976" s="321"/>
    </row>
    <row r="977">
      <c r="AF977" s="320"/>
      <c r="AG977" s="321"/>
    </row>
    <row r="978">
      <c r="AF978" s="320"/>
      <c r="AG978" s="321"/>
    </row>
    <row r="979">
      <c r="AF979" s="320"/>
      <c r="AG979" s="321"/>
    </row>
    <row r="980">
      <c r="AF980" s="320"/>
      <c r="AG980" s="321"/>
    </row>
    <row r="981">
      <c r="AF981" s="320"/>
      <c r="AG981" s="321"/>
    </row>
    <row r="982">
      <c r="AF982" s="320"/>
      <c r="AG982" s="321"/>
    </row>
    <row r="983">
      <c r="AF983" s="320"/>
      <c r="AG983" s="321"/>
    </row>
    <row r="984">
      <c r="AF984" s="320"/>
      <c r="AG984" s="321"/>
    </row>
    <row r="985">
      <c r="AF985" s="320"/>
      <c r="AG985" s="321"/>
    </row>
    <row r="986">
      <c r="AF986" s="320"/>
      <c r="AG986" s="321"/>
    </row>
    <row r="987">
      <c r="AF987" s="320"/>
      <c r="AG987" s="321"/>
    </row>
    <row r="988">
      <c r="AF988" s="320"/>
      <c r="AG988" s="321"/>
    </row>
    <row r="989">
      <c r="AF989" s="320"/>
      <c r="AG989" s="321"/>
    </row>
    <row r="990">
      <c r="AF990" s="320"/>
      <c r="AG990" s="321"/>
    </row>
    <row r="991">
      <c r="AF991" s="320"/>
      <c r="AG991" s="321"/>
    </row>
    <row r="992">
      <c r="AF992" s="320"/>
      <c r="AG992" s="321"/>
    </row>
    <row r="993">
      <c r="AF993" s="320"/>
      <c r="AG993" s="321"/>
    </row>
    <row r="994">
      <c r="AF994" s="320"/>
      <c r="AG994" s="321"/>
    </row>
    <row r="995">
      <c r="AF995" s="320"/>
      <c r="AG995" s="321"/>
    </row>
    <row r="996">
      <c r="AF996" s="320"/>
      <c r="AG996" s="321"/>
    </row>
    <row r="997">
      <c r="AF997" s="320"/>
      <c r="AG997" s="321"/>
    </row>
    <row r="998">
      <c r="AF998" s="320"/>
      <c r="AG998" s="321"/>
    </row>
    <row r="999">
      <c r="AF999" s="320"/>
      <c r="AG999" s="321"/>
    </row>
    <row r="1000">
      <c r="AF1000" s="320"/>
      <c r="AG1000" s="321"/>
    </row>
    <row r="1001">
      <c r="AF1001" s="320"/>
      <c r="AG1001" s="3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3.88"/>
    <col customWidth="1" min="3" max="3" width="25.38"/>
    <col customWidth="1" min="4" max="4" width="28.0"/>
    <col customWidth="1" min="5" max="5" width="9.88"/>
    <col customWidth="1" min="6" max="6" width="29.5"/>
    <col customWidth="1" min="7" max="7" width="11.63"/>
    <col customWidth="1" min="8" max="8" width="29.5"/>
    <col customWidth="1" min="9" max="9" width="10.0"/>
    <col customWidth="1" min="10" max="10" width="11.5"/>
  </cols>
  <sheetData>
    <row r="1">
      <c r="A1" s="3" t="s">
        <v>0</v>
      </c>
      <c r="B1" s="3" t="s">
        <v>2</v>
      </c>
      <c r="C1" s="3" t="s">
        <v>3</v>
      </c>
      <c r="D1" s="3" t="s">
        <v>4</v>
      </c>
      <c r="E1" s="3" t="s">
        <v>5</v>
      </c>
      <c r="F1" s="3" t="s">
        <v>6</v>
      </c>
      <c r="G1" s="3" t="s">
        <v>7</v>
      </c>
      <c r="H1" s="6"/>
      <c r="I1" s="6"/>
      <c r="J1" s="6"/>
    </row>
    <row r="2">
      <c r="A2" s="7">
        <v>44235.0</v>
      </c>
      <c r="B2" s="8" t="s">
        <v>8</v>
      </c>
      <c r="C2" s="8" t="s">
        <v>9</v>
      </c>
      <c r="D2" s="8" t="s">
        <v>10</v>
      </c>
      <c r="E2" s="9">
        <v>381.0</v>
      </c>
      <c r="F2" s="8" t="s">
        <v>11</v>
      </c>
      <c r="G2" s="8" t="s">
        <v>12</v>
      </c>
      <c r="H2" s="10" t="s">
        <v>6</v>
      </c>
      <c r="I2" s="11" t="s">
        <v>13</v>
      </c>
      <c r="J2" s="12"/>
    </row>
    <row r="3">
      <c r="A3" s="7">
        <v>44235.0</v>
      </c>
      <c r="B3" s="8" t="s">
        <v>15</v>
      </c>
      <c r="C3" s="8" t="s">
        <v>16</v>
      </c>
      <c r="D3" s="8" t="s">
        <v>17</v>
      </c>
      <c r="E3" s="9">
        <v>59.0</v>
      </c>
      <c r="F3" s="8" t="s">
        <v>21</v>
      </c>
      <c r="G3" s="8" t="s">
        <v>12</v>
      </c>
      <c r="H3" s="8" t="s">
        <v>23</v>
      </c>
      <c r="I3" s="14">
        <v>13.0</v>
      </c>
      <c r="J3" s="21">
        <f>I3/I9</f>
        <v>0.3170731707</v>
      </c>
    </row>
    <row r="4">
      <c r="A4" s="7">
        <v>44235.0</v>
      </c>
      <c r="B4" s="8" t="s">
        <v>36</v>
      </c>
      <c r="C4" s="8" t="s">
        <v>37</v>
      </c>
      <c r="D4" s="8" t="s">
        <v>38</v>
      </c>
      <c r="E4" s="9">
        <v>178.0</v>
      </c>
      <c r="F4" s="8" t="s">
        <v>41</v>
      </c>
      <c r="G4" s="8" t="s">
        <v>42</v>
      </c>
      <c r="H4" s="8" t="s">
        <v>43</v>
      </c>
      <c r="I4" s="14">
        <v>7.0</v>
      </c>
      <c r="J4" s="21">
        <f>I4/I9</f>
        <v>0.1707317073</v>
      </c>
    </row>
    <row r="5">
      <c r="A5" s="7">
        <v>44235.0</v>
      </c>
      <c r="B5" s="8" t="s">
        <v>44</v>
      </c>
      <c r="C5" s="8" t="s">
        <v>45</v>
      </c>
      <c r="D5" s="8" t="s">
        <v>46</v>
      </c>
      <c r="E5" s="9">
        <v>369.0</v>
      </c>
      <c r="F5" s="8" t="s">
        <v>41</v>
      </c>
      <c r="G5" s="8" t="s">
        <v>12</v>
      </c>
      <c r="H5" s="8" t="s">
        <v>47</v>
      </c>
      <c r="I5" s="14">
        <v>1.0</v>
      </c>
      <c r="J5" s="21">
        <f>I5/I9</f>
        <v>0.0243902439</v>
      </c>
    </row>
    <row r="6">
      <c r="A6" s="7">
        <v>44294.0</v>
      </c>
      <c r="B6" s="8" t="s">
        <v>48</v>
      </c>
      <c r="C6" s="8" t="s">
        <v>49</v>
      </c>
      <c r="D6" s="8" t="s">
        <v>50</v>
      </c>
      <c r="E6" s="9">
        <v>265.0</v>
      </c>
      <c r="F6" s="8" t="s">
        <v>51</v>
      </c>
      <c r="G6" s="8" t="s">
        <v>12</v>
      </c>
      <c r="H6" s="8" t="s">
        <v>53</v>
      </c>
      <c r="I6" s="29">
        <v>0.0</v>
      </c>
      <c r="J6" s="21">
        <f>I6/I9</f>
        <v>0</v>
      </c>
    </row>
    <row r="7">
      <c r="A7" s="7">
        <v>44294.0</v>
      </c>
      <c r="B7" s="8" t="s">
        <v>54</v>
      </c>
      <c r="C7" s="8" t="s">
        <v>55</v>
      </c>
      <c r="D7" s="8" t="s">
        <v>56</v>
      </c>
      <c r="E7" s="9">
        <v>224.0</v>
      </c>
      <c r="F7" s="8" t="s">
        <v>11</v>
      </c>
      <c r="G7" s="8" t="s">
        <v>12</v>
      </c>
      <c r="H7" s="8" t="s">
        <v>57</v>
      </c>
      <c r="I7" s="14">
        <v>7.0</v>
      </c>
      <c r="J7" s="21">
        <f>I7/I9</f>
        <v>0.1707317073</v>
      </c>
    </row>
    <row r="8">
      <c r="A8" s="7">
        <v>44294.0</v>
      </c>
      <c r="B8" s="8" t="s">
        <v>59</v>
      </c>
      <c r="C8" s="8" t="s">
        <v>60</v>
      </c>
      <c r="D8" s="8" t="s">
        <v>61</v>
      </c>
      <c r="E8" s="9">
        <v>206.0</v>
      </c>
      <c r="F8" s="8" t="s">
        <v>11</v>
      </c>
      <c r="G8" s="8" t="s">
        <v>12</v>
      </c>
      <c r="H8" s="31" t="s">
        <v>62</v>
      </c>
      <c r="I8" s="33">
        <v>13.0</v>
      </c>
      <c r="J8" s="34">
        <f>I8/I9</f>
        <v>0.3170731707</v>
      </c>
    </row>
    <row r="9">
      <c r="A9" s="7">
        <v>44294.0</v>
      </c>
      <c r="B9" s="8" t="s">
        <v>63</v>
      </c>
      <c r="C9" s="8" t="s">
        <v>64</v>
      </c>
      <c r="D9" s="8" t="s">
        <v>65</v>
      </c>
      <c r="E9" s="9">
        <v>369.0</v>
      </c>
      <c r="F9" s="8" t="s">
        <v>51</v>
      </c>
      <c r="G9" s="8" t="s">
        <v>12</v>
      </c>
      <c r="H9" s="8" t="s">
        <v>66</v>
      </c>
      <c r="I9" s="14">
        <f>SUM(I3:I8)</f>
        <v>41</v>
      </c>
      <c r="J9" s="6"/>
    </row>
    <row r="10">
      <c r="A10" s="7">
        <v>44294.0</v>
      </c>
      <c r="B10" s="8" t="s">
        <v>68</v>
      </c>
      <c r="C10" s="8" t="s">
        <v>69</v>
      </c>
      <c r="D10" s="8" t="s">
        <v>70</v>
      </c>
      <c r="E10" s="9">
        <v>202.0</v>
      </c>
      <c r="F10" s="8" t="s">
        <v>51</v>
      </c>
      <c r="G10" s="8" t="s">
        <v>12</v>
      </c>
      <c r="H10" s="6"/>
      <c r="I10" s="6"/>
      <c r="J10" s="6"/>
    </row>
    <row r="11">
      <c r="A11" s="7">
        <v>44324.0</v>
      </c>
      <c r="B11" s="8" t="s">
        <v>71</v>
      </c>
      <c r="C11" s="8" t="s">
        <v>72</v>
      </c>
      <c r="D11" s="8" t="s">
        <v>73</v>
      </c>
      <c r="E11" s="9">
        <v>414.0</v>
      </c>
      <c r="F11" s="8" t="s">
        <v>51</v>
      </c>
      <c r="G11" s="8" t="s">
        <v>12</v>
      </c>
      <c r="H11" s="29" t="s">
        <v>74</v>
      </c>
      <c r="I11" s="14">
        <f>Sales!B40</f>
        <v>1136</v>
      </c>
      <c r="J11" s="6"/>
    </row>
    <row r="12">
      <c r="A12" s="7">
        <v>44324.0</v>
      </c>
      <c r="B12" s="8" t="s">
        <v>77</v>
      </c>
      <c r="C12" s="8" t="s">
        <v>78</v>
      </c>
      <c r="D12" s="8" t="s">
        <v>79</v>
      </c>
      <c r="E12" s="9">
        <v>202.0</v>
      </c>
      <c r="F12" s="8" t="s">
        <v>80</v>
      </c>
      <c r="G12" s="8" t="s">
        <v>81</v>
      </c>
      <c r="H12" s="6"/>
      <c r="I12" s="6"/>
      <c r="J12" s="6"/>
    </row>
    <row r="13">
      <c r="A13" s="7">
        <v>44355.0</v>
      </c>
      <c r="B13" s="8" t="s">
        <v>82</v>
      </c>
      <c r="C13" s="8" t="s">
        <v>83</v>
      </c>
      <c r="D13" s="8" t="s">
        <v>85</v>
      </c>
      <c r="E13" s="9">
        <v>261.0</v>
      </c>
      <c r="F13" s="8" t="s">
        <v>11</v>
      </c>
      <c r="G13" s="8" t="s">
        <v>12</v>
      </c>
      <c r="H13" s="41" t="s">
        <v>86</v>
      </c>
      <c r="I13" s="42">
        <f>I9/I11</f>
        <v>0.0360915493</v>
      </c>
      <c r="J13" s="6"/>
    </row>
    <row r="14">
      <c r="A14" s="7">
        <v>44324.0</v>
      </c>
      <c r="B14" s="8" t="s">
        <v>87</v>
      </c>
      <c r="C14" s="8" t="s">
        <v>88</v>
      </c>
      <c r="D14" s="8" t="s">
        <v>89</v>
      </c>
      <c r="E14" s="9">
        <v>255.0</v>
      </c>
      <c r="F14" s="8" t="s">
        <v>41</v>
      </c>
      <c r="G14" s="8" t="s">
        <v>12</v>
      </c>
      <c r="H14" s="6"/>
      <c r="I14" s="6"/>
      <c r="J14" s="6"/>
    </row>
    <row r="15">
      <c r="A15" s="7">
        <v>44355.0</v>
      </c>
      <c r="B15" s="8" t="s">
        <v>90</v>
      </c>
      <c r="C15" s="8" t="s">
        <v>91</v>
      </c>
      <c r="D15" s="8" t="s">
        <v>92</v>
      </c>
      <c r="E15" s="9">
        <v>191.0</v>
      </c>
      <c r="F15" s="8" t="s">
        <v>41</v>
      </c>
      <c r="G15" s="8" t="s">
        <v>12</v>
      </c>
      <c r="H15" s="6"/>
      <c r="I15" s="12"/>
      <c r="J15" s="6"/>
    </row>
    <row r="16">
      <c r="A16" s="7">
        <v>44447.0</v>
      </c>
      <c r="B16" s="8" t="s">
        <v>94</v>
      </c>
      <c r="C16" s="8" t="s">
        <v>95</v>
      </c>
      <c r="D16" s="8" t="s">
        <v>96</v>
      </c>
      <c r="E16" s="9">
        <v>218.0</v>
      </c>
      <c r="F16" s="8" t="s">
        <v>11</v>
      </c>
      <c r="G16" s="8" t="s">
        <v>81</v>
      </c>
      <c r="H16" s="6"/>
      <c r="I16" s="6"/>
      <c r="J16" s="6"/>
    </row>
    <row r="17">
      <c r="A17" s="7">
        <v>44477.0</v>
      </c>
      <c r="B17" s="8" t="s">
        <v>97</v>
      </c>
      <c r="C17" s="8" t="s">
        <v>98</v>
      </c>
      <c r="D17" s="8" t="s">
        <v>99</v>
      </c>
      <c r="E17" s="9">
        <v>224.0</v>
      </c>
      <c r="F17" s="8" t="s">
        <v>51</v>
      </c>
      <c r="G17" s="8" t="s">
        <v>12</v>
      </c>
      <c r="H17" s="6"/>
      <c r="I17" s="6"/>
      <c r="J17" s="6"/>
    </row>
    <row r="18">
      <c r="A18" s="7">
        <v>44477.0</v>
      </c>
      <c r="B18" s="8" t="s">
        <v>100</v>
      </c>
      <c r="C18" s="8" t="s">
        <v>101</v>
      </c>
      <c r="D18" s="8" t="s">
        <v>102</v>
      </c>
      <c r="E18" s="9">
        <v>206.0</v>
      </c>
      <c r="F18" s="8" t="s">
        <v>11</v>
      </c>
      <c r="G18" s="8" t="s">
        <v>12</v>
      </c>
      <c r="H18" s="6"/>
      <c r="I18" s="6"/>
      <c r="J18" s="6"/>
    </row>
    <row r="19">
      <c r="A19" s="7">
        <v>44477.0</v>
      </c>
      <c r="B19" s="8" t="s">
        <v>103</v>
      </c>
      <c r="C19" s="8" t="s">
        <v>104</v>
      </c>
      <c r="D19" s="8" t="s">
        <v>105</v>
      </c>
      <c r="E19" s="9">
        <v>206.0</v>
      </c>
      <c r="F19" s="8" t="s">
        <v>41</v>
      </c>
      <c r="G19" s="8" t="s">
        <v>12</v>
      </c>
      <c r="H19" s="6"/>
      <c r="I19" s="6"/>
      <c r="J19" s="6"/>
    </row>
    <row r="20">
      <c r="A20" s="7">
        <v>44477.0</v>
      </c>
      <c r="B20" s="8" t="s">
        <v>106</v>
      </c>
      <c r="C20" s="8" t="s">
        <v>107</v>
      </c>
      <c r="D20" s="8" t="s">
        <v>109</v>
      </c>
      <c r="E20" s="9">
        <v>265.0</v>
      </c>
      <c r="F20" s="8" t="s">
        <v>51</v>
      </c>
      <c r="G20" s="8" t="s">
        <v>81</v>
      </c>
      <c r="H20" s="6"/>
      <c r="I20" s="6"/>
      <c r="J20" s="6"/>
    </row>
    <row r="21">
      <c r="A21" s="7">
        <v>44508.0</v>
      </c>
      <c r="B21" s="8" t="s">
        <v>111</v>
      </c>
      <c r="C21" s="8" t="s">
        <v>112</v>
      </c>
      <c r="D21" s="8" t="s">
        <v>113</v>
      </c>
      <c r="E21" s="9">
        <v>487.0</v>
      </c>
      <c r="F21" s="8" t="s">
        <v>51</v>
      </c>
      <c r="G21" s="8" t="s">
        <v>12</v>
      </c>
      <c r="H21" s="6"/>
      <c r="I21" s="6"/>
      <c r="J21" s="6"/>
    </row>
    <row r="22">
      <c r="A22" s="7">
        <v>44538.0</v>
      </c>
      <c r="B22" s="8" t="s">
        <v>115</v>
      </c>
      <c r="C22" s="8" t="s">
        <v>116</v>
      </c>
      <c r="D22" s="8" t="s">
        <v>118</v>
      </c>
      <c r="E22" s="9">
        <v>206.0</v>
      </c>
      <c r="F22" s="8" t="s">
        <v>51</v>
      </c>
      <c r="G22" s="8" t="s">
        <v>12</v>
      </c>
      <c r="H22" s="6"/>
      <c r="I22" s="6"/>
      <c r="J22" s="6"/>
    </row>
    <row r="23">
      <c r="A23" s="14" t="s">
        <v>119</v>
      </c>
      <c r="B23" s="8" t="s">
        <v>120</v>
      </c>
      <c r="C23" s="8" t="s">
        <v>121</v>
      </c>
      <c r="D23" s="8" t="s">
        <v>122</v>
      </c>
      <c r="E23" s="9">
        <v>206.0</v>
      </c>
      <c r="F23" s="8" t="s">
        <v>123</v>
      </c>
      <c r="G23" s="8" t="s">
        <v>12</v>
      </c>
      <c r="H23" s="6"/>
      <c r="I23" s="6"/>
      <c r="J23" s="6"/>
    </row>
    <row r="24">
      <c r="A24" s="14" t="s">
        <v>119</v>
      </c>
      <c r="B24" s="8" t="s">
        <v>124</v>
      </c>
      <c r="C24" s="8" t="s">
        <v>125</v>
      </c>
      <c r="D24" s="8" t="s">
        <v>126</v>
      </c>
      <c r="E24" s="9">
        <v>206.0</v>
      </c>
      <c r="F24" s="8" t="s">
        <v>51</v>
      </c>
      <c r="G24" s="8" t="s">
        <v>12</v>
      </c>
      <c r="H24" s="6"/>
      <c r="I24" s="6"/>
      <c r="J24" s="6"/>
    </row>
    <row r="25">
      <c r="A25" s="14" t="s">
        <v>127</v>
      </c>
      <c r="B25" s="8" t="s">
        <v>128</v>
      </c>
      <c r="C25" s="8" t="s">
        <v>130</v>
      </c>
      <c r="D25" s="8" t="s">
        <v>131</v>
      </c>
      <c r="E25" s="9">
        <v>261.0</v>
      </c>
      <c r="F25" s="8" t="s">
        <v>51</v>
      </c>
      <c r="G25" s="8" t="s">
        <v>12</v>
      </c>
      <c r="H25" s="6"/>
      <c r="I25" s="6"/>
      <c r="J25" s="6"/>
    </row>
    <row r="26">
      <c r="A26" s="14" t="s">
        <v>127</v>
      </c>
      <c r="B26" s="8" t="s">
        <v>132</v>
      </c>
      <c r="C26" s="8" t="s">
        <v>133</v>
      </c>
      <c r="D26" s="8" t="s">
        <v>134</v>
      </c>
      <c r="E26" s="9">
        <v>206.0</v>
      </c>
      <c r="F26" s="46" t="s">
        <v>135</v>
      </c>
      <c r="G26" s="8" t="s">
        <v>12</v>
      </c>
      <c r="H26" s="6"/>
      <c r="I26" s="6"/>
      <c r="J26" s="6"/>
    </row>
    <row r="27">
      <c r="A27" s="14" t="s">
        <v>136</v>
      </c>
      <c r="B27" s="8" t="s">
        <v>137</v>
      </c>
      <c r="C27" s="8" t="s">
        <v>138</v>
      </c>
      <c r="D27" s="8" t="s">
        <v>139</v>
      </c>
      <c r="E27" s="9">
        <v>189.0</v>
      </c>
      <c r="F27" s="8" t="s">
        <v>51</v>
      </c>
      <c r="G27" s="8" t="s">
        <v>12</v>
      </c>
      <c r="H27" s="6"/>
      <c r="I27" s="6"/>
      <c r="J27" s="6"/>
    </row>
    <row r="28">
      <c r="A28" s="14" t="s">
        <v>140</v>
      </c>
      <c r="B28" s="8" t="s">
        <v>142</v>
      </c>
      <c r="C28" s="8" t="s">
        <v>143</v>
      </c>
      <c r="D28" s="8" t="s">
        <v>144</v>
      </c>
      <c r="E28" s="9">
        <v>206.0</v>
      </c>
      <c r="F28" s="8" t="s">
        <v>11</v>
      </c>
      <c r="G28" s="8" t="s">
        <v>81</v>
      </c>
      <c r="H28" s="6"/>
      <c r="I28" s="6"/>
      <c r="J28" s="6"/>
    </row>
    <row r="29">
      <c r="A29" s="14" t="s">
        <v>145</v>
      </c>
      <c r="B29" s="8" t="s">
        <v>146</v>
      </c>
      <c r="C29" s="8" t="s">
        <v>147</v>
      </c>
      <c r="D29" s="8" t="s">
        <v>148</v>
      </c>
      <c r="E29" s="9">
        <v>206.0</v>
      </c>
      <c r="F29" s="8" t="s">
        <v>11</v>
      </c>
      <c r="G29" s="8" t="s">
        <v>81</v>
      </c>
      <c r="H29" s="6"/>
      <c r="I29" s="6"/>
      <c r="J29" s="6"/>
    </row>
    <row r="30">
      <c r="A30" s="14" t="s">
        <v>150</v>
      </c>
      <c r="B30" s="8" t="s">
        <v>151</v>
      </c>
      <c r="C30" s="8" t="s">
        <v>152</v>
      </c>
      <c r="D30" s="8" t="s">
        <v>153</v>
      </c>
      <c r="E30" s="9">
        <v>206.0</v>
      </c>
      <c r="F30" s="46" t="s">
        <v>135</v>
      </c>
      <c r="G30" s="8" t="s">
        <v>81</v>
      </c>
      <c r="H30" s="6"/>
      <c r="I30" s="6"/>
      <c r="J30" s="6"/>
    </row>
    <row r="31">
      <c r="A31" s="14" t="s">
        <v>150</v>
      </c>
      <c r="B31" s="8" t="s">
        <v>154</v>
      </c>
      <c r="C31" s="8" t="s">
        <v>155</v>
      </c>
      <c r="D31" s="8" t="s">
        <v>156</v>
      </c>
      <c r="E31" s="9">
        <v>261.0</v>
      </c>
      <c r="F31" s="8" t="s">
        <v>11</v>
      </c>
      <c r="G31" s="8" t="s">
        <v>81</v>
      </c>
      <c r="H31" s="6"/>
      <c r="I31" s="6"/>
      <c r="J31" s="6"/>
    </row>
    <row r="32">
      <c r="A32" s="14" t="s">
        <v>157</v>
      </c>
      <c r="B32" s="8" t="s">
        <v>158</v>
      </c>
      <c r="C32" s="8" t="s">
        <v>159</v>
      </c>
      <c r="D32" s="8" t="s">
        <v>160</v>
      </c>
      <c r="E32" s="9">
        <v>209.0</v>
      </c>
      <c r="F32" s="46" t="s">
        <v>135</v>
      </c>
      <c r="G32" s="8" t="s">
        <v>12</v>
      </c>
      <c r="H32" s="6"/>
      <c r="I32" s="6"/>
      <c r="J32" s="6"/>
    </row>
    <row r="33">
      <c r="A33" s="14" t="s">
        <v>162</v>
      </c>
      <c r="B33" s="8" t="s">
        <v>163</v>
      </c>
      <c r="C33" s="8" t="s">
        <v>164</v>
      </c>
      <c r="D33" s="8" t="s">
        <v>165</v>
      </c>
      <c r="E33" s="9">
        <v>206.0</v>
      </c>
      <c r="F33" s="46" t="s">
        <v>135</v>
      </c>
      <c r="G33" s="8" t="s">
        <v>12</v>
      </c>
      <c r="H33" s="6"/>
      <c r="I33" s="6"/>
      <c r="J33" s="6"/>
    </row>
    <row r="34">
      <c r="A34" s="14" t="s">
        <v>162</v>
      </c>
      <c r="B34" s="8" t="s">
        <v>166</v>
      </c>
      <c r="C34" s="8" t="s">
        <v>167</v>
      </c>
      <c r="D34" s="8" t="s">
        <v>168</v>
      </c>
      <c r="E34" s="9">
        <v>464.0</v>
      </c>
      <c r="F34" s="8" t="s">
        <v>51</v>
      </c>
      <c r="G34" s="8" t="s">
        <v>12</v>
      </c>
      <c r="H34" s="6"/>
      <c r="I34" s="6"/>
      <c r="J34" s="6"/>
    </row>
    <row r="35">
      <c r="A35" s="14" t="s">
        <v>162</v>
      </c>
      <c r="B35" s="8" t="s">
        <v>169</v>
      </c>
      <c r="C35" s="8" t="s">
        <v>170</v>
      </c>
      <c r="D35" s="8" t="s">
        <v>171</v>
      </c>
      <c r="E35" s="9">
        <v>206.0</v>
      </c>
      <c r="F35" s="8" t="s">
        <v>172</v>
      </c>
      <c r="G35" s="8" t="s">
        <v>12</v>
      </c>
      <c r="H35" s="6"/>
      <c r="I35" s="6"/>
      <c r="J35" s="6"/>
    </row>
    <row r="36">
      <c r="A36" s="14" t="s">
        <v>173</v>
      </c>
      <c r="B36" s="8" t="s">
        <v>174</v>
      </c>
      <c r="C36" s="8" t="s">
        <v>175</v>
      </c>
      <c r="D36" s="8" t="s">
        <v>176</v>
      </c>
      <c r="E36" s="9">
        <v>206.0</v>
      </c>
      <c r="F36" s="8" t="s">
        <v>41</v>
      </c>
      <c r="G36" s="8" t="s">
        <v>12</v>
      </c>
      <c r="H36" s="6"/>
      <c r="I36" s="6"/>
      <c r="J36" s="6"/>
    </row>
    <row r="37">
      <c r="A37" s="14" t="s">
        <v>177</v>
      </c>
      <c r="B37" s="8" t="s">
        <v>179</v>
      </c>
      <c r="C37" s="8" t="s">
        <v>180</v>
      </c>
      <c r="D37" s="8" t="s">
        <v>181</v>
      </c>
      <c r="E37" s="9">
        <v>309.0</v>
      </c>
      <c r="F37" s="46" t="s">
        <v>135</v>
      </c>
      <c r="G37" s="8" t="s">
        <v>12</v>
      </c>
      <c r="H37" s="6"/>
      <c r="I37" s="6"/>
      <c r="J37" s="6"/>
    </row>
    <row r="38">
      <c r="A38" s="14" t="s">
        <v>183</v>
      </c>
      <c r="B38" s="8" t="s">
        <v>184</v>
      </c>
      <c r="C38" s="8" t="s">
        <v>185</v>
      </c>
      <c r="D38" s="8" t="s">
        <v>186</v>
      </c>
      <c r="E38" s="9">
        <v>224.0</v>
      </c>
      <c r="F38" s="8" t="s">
        <v>51</v>
      </c>
      <c r="G38" s="8" t="s">
        <v>12</v>
      </c>
      <c r="H38" s="6"/>
      <c r="I38" s="6"/>
      <c r="J38" s="6"/>
    </row>
    <row r="39">
      <c r="A39" s="14" t="s">
        <v>183</v>
      </c>
      <c r="B39" s="8" t="s">
        <v>187</v>
      </c>
      <c r="C39" s="8" t="s">
        <v>188</v>
      </c>
      <c r="D39" s="8" t="s">
        <v>189</v>
      </c>
      <c r="E39" s="9">
        <v>283.0</v>
      </c>
      <c r="F39" s="46" t="s">
        <v>135</v>
      </c>
      <c r="G39" s="8" t="s">
        <v>12</v>
      </c>
      <c r="H39" s="6"/>
      <c r="I39" s="6"/>
      <c r="J39" s="6"/>
    </row>
    <row r="40">
      <c r="A40" s="14" t="s">
        <v>190</v>
      </c>
      <c r="B40" s="8" t="s">
        <v>191</v>
      </c>
      <c r="C40" s="8" t="s">
        <v>192</v>
      </c>
      <c r="D40" s="8" t="s">
        <v>193</v>
      </c>
      <c r="E40" s="9">
        <v>206.0</v>
      </c>
      <c r="F40" s="8" t="s">
        <v>41</v>
      </c>
      <c r="G40" s="8" t="s">
        <v>12</v>
      </c>
      <c r="H40" s="6"/>
      <c r="I40" s="6"/>
      <c r="J40" s="6"/>
    </row>
    <row r="41">
      <c r="A41" s="14" t="s">
        <v>190</v>
      </c>
      <c r="B41" s="8" t="s">
        <v>194</v>
      </c>
      <c r="C41" s="8" t="s">
        <v>195</v>
      </c>
      <c r="D41" s="8" t="s">
        <v>196</v>
      </c>
      <c r="E41" s="9">
        <v>224.0</v>
      </c>
      <c r="F41" s="8" t="s">
        <v>11</v>
      </c>
      <c r="G41" s="8" t="s">
        <v>12</v>
      </c>
      <c r="H41" s="6"/>
      <c r="I41" s="6"/>
      <c r="J41" s="6"/>
    </row>
    <row r="42">
      <c r="A42" s="14" t="s">
        <v>190</v>
      </c>
      <c r="B42" s="8" t="s">
        <v>197</v>
      </c>
      <c r="C42" s="8" t="s">
        <v>198</v>
      </c>
      <c r="D42" s="8" t="s">
        <v>199</v>
      </c>
      <c r="E42" s="9">
        <v>255.0</v>
      </c>
      <c r="F42" s="46" t="s">
        <v>135</v>
      </c>
      <c r="G42" s="8" t="s">
        <v>12</v>
      </c>
      <c r="H42" s="6"/>
      <c r="I42" s="6"/>
      <c r="J42" s="6"/>
    </row>
    <row r="43">
      <c r="A43" s="14" t="s">
        <v>200</v>
      </c>
      <c r="B43" s="8" t="s">
        <v>201</v>
      </c>
      <c r="C43" s="8" t="s">
        <v>202</v>
      </c>
      <c r="D43" s="8" t="s">
        <v>203</v>
      </c>
      <c r="E43" s="9">
        <v>283.0</v>
      </c>
      <c r="F43" s="8" t="s">
        <v>135</v>
      </c>
      <c r="G43" s="8" t="s">
        <v>12</v>
      </c>
      <c r="H43" s="6"/>
      <c r="I43" s="6"/>
      <c r="J43" s="6"/>
    </row>
  </sheetData>
  <conditionalFormatting sqref="J3:J8">
    <cfRule type="colorScale" priority="1">
      <colorScale>
        <cfvo type="min"/>
        <cfvo type="max"/>
        <color rgb="FFFFFFFF"/>
        <color rgb="FFE67C73"/>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5" max="5" width="17.0"/>
    <col customWidth="1" min="11" max="11" width="16.5"/>
  </cols>
  <sheetData>
    <row r="1">
      <c r="A1" s="68" t="s">
        <v>208</v>
      </c>
      <c r="G1" s="68" t="s">
        <v>210</v>
      </c>
    </row>
    <row r="2">
      <c r="A2" s="6"/>
      <c r="B2" s="6"/>
      <c r="C2" s="70" t="s">
        <v>211</v>
      </c>
      <c r="D2" s="70" t="s">
        <v>212</v>
      </c>
      <c r="E2" s="6" t="s">
        <v>213</v>
      </c>
      <c r="G2" s="6"/>
      <c r="H2" s="6"/>
      <c r="I2" s="20" t="s">
        <v>210</v>
      </c>
      <c r="J2" s="70" t="s">
        <v>212</v>
      </c>
      <c r="K2" s="6" t="s">
        <v>213</v>
      </c>
    </row>
    <row r="3">
      <c r="A3" s="71">
        <v>44409.0</v>
      </c>
      <c r="B3" s="72" t="s">
        <v>12</v>
      </c>
      <c r="C3" s="73">
        <v>0.0069</v>
      </c>
      <c r="D3" s="74">
        <v>59.0</v>
      </c>
      <c r="E3" s="75">
        <f>IFERROR(__xludf.DUMMYFUNCTION("AVERAGE.WEIGHTED(C3:C4,D3:D4)"),0.007668115942028986)</f>
        <v>0.007668115942</v>
      </c>
      <c r="G3" s="71">
        <v>44409.0</v>
      </c>
      <c r="H3" s="72" t="s">
        <v>12</v>
      </c>
      <c r="I3" s="76">
        <v>291.37</v>
      </c>
      <c r="J3" s="74">
        <v>59.0</v>
      </c>
      <c r="K3" s="77">
        <f>IFERROR(__xludf.DUMMYFUNCTION("AVERAGE.WEIGHTED(I3:I4,J3:J4)"),281.98304347826087)</f>
        <v>281.9830435</v>
      </c>
    </row>
    <row r="4">
      <c r="B4" s="6" t="s">
        <v>214</v>
      </c>
      <c r="C4" s="79">
        <v>0.0122</v>
      </c>
      <c r="D4" s="80">
        <v>10.0</v>
      </c>
      <c r="H4" s="6" t="s">
        <v>214</v>
      </c>
      <c r="I4" s="81">
        <v>226.6</v>
      </c>
      <c r="J4" s="80">
        <v>10.0</v>
      </c>
    </row>
    <row r="5">
      <c r="A5" s="71">
        <v>44410.0</v>
      </c>
      <c r="B5" s="72" t="s">
        <v>12</v>
      </c>
      <c r="C5" s="73">
        <v>0.0052</v>
      </c>
      <c r="D5" s="74">
        <v>38.0</v>
      </c>
      <c r="E5" s="75">
        <f>IFERROR(__xludf.DUMMYFUNCTION("AVERAGE.WEIGHTED(C5:C6,D5:D6)"),0.0064795918367346935)</f>
        <v>0.006479591837</v>
      </c>
      <c r="F5" s="82"/>
      <c r="G5" s="71">
        <v>44410.0</v>
      </c>
      <c r="H5" s="72" t="s">
        <v>12</v>
      </c>
      <c r="I5" s="76">
        <v>288.03</v>
      </c>
      <c r="J5" s="74">
        <v>38.0</v>
      </c>
      <c r="K5" s="77">
        <f>IFERROR(__xludf.DUMMYFUNCTION("AVERAGE.WEIGHTED(I5:I6,J5:J6)"),277.4116326530612)</f>
        <v>277.4116327</v>
      </c>
    </row>
    <row r="6">
      <c r="B6" s="6" t="s">
        <v>214</v>
      </c>
      <c r="C6" s="79">
        <v>0.0109</v>
      </c>
      <c r="D6" s="80">
        <v>11.0</v>
      </c>
      <c r="H6" s="6" t="s">
        <v>214</v>
      </c>
      <c r="I6" s="81">
        <v>240.73</v>
      </c>
      <c r="J6" s="80">
        <v>11.0</v>
      </c>
    </row>
    <row r="7">
      <c r="A7" s="71">
        <v>44411.0</v>
      </c>
      <c r="B7" s="72" t="s">
        <v>12</v>
      </c>
      <c r="C7" s="73">
        <v>0.0059</v>
      </c>
      <c r="D7" s="74">
        <v>37.0</v>
      </c>
      <c r="E7" s="75">
        <f>IFERROR(__xludf.DUMMYFUNCTION("AVERAGE.WEIGHTED(C7:C8,D7:D8)"),0.006580851063829787)</f>
        <v>0.006580851064</v>
      </c>
      <c r="G7" s="71">
        <v>44411.0</v>
      </c>
      <c r="H7" s="72" t="s">
        <v>12</v>
      </c>
      <c r="I7" s="76">
        <v>280.41</v>
      </c>
      <c r="J7" s="74">
        <v>37.0</v>
      </c>
      <c r="K7" s="77">
        <f>IFERROR(__xludf.DUMMYFUNCTION("AVERAGE.WEIGHTED(I7:I8,J7:J8)"),273.8334042553192)</f>
        <v>273.8334043</v>
      </c>
    </row>
    <row r="8">
      <c r="B8" s="6" t="s">
        <v>214</v>
      </c>
      <c r="C8" s="79">
        <v>0.0091</v>
      </c>
      <c r="D8" s="80">
        <v>10.0</v>
      </c>
      <c r="H8" s="6" t="s">
        <v>214</v>
      </c>
      <c r="I8" s="81">
        <v>249.5</v>
      </c>
      <c r="J8" s="80">
        <v>10.0</v>
      </c>
    </row>
    <row r="9">
      <c r="A9" s="71">
        <v>44412.0</v>
      </c>
      <c r="B9" s="72" t="s">
        <v>12</v>
      </c>
      <c r="C9" s="73">
        <v>0.0072</v>
      </c>
      <c r="D9" s="74">
        <v>50.0</v>
      </c>
      <c r="E9" s="75">
        <f>IFERROR(__xludf.DUMMYFUNCTION("AVERAGE.WEIGHTED(C9:C10,D9:D10)"),0.007963492063492063)</f>
        <v>0.007963492063</v>
      </c>
      <c r="G9" s="71">
        <v>44412.0</v>
      </c>
      <c r="H9" s="72" t="s">
        <v>12</v>
      </c>
      <c r="I9" s="76">
        <v>247.74</v>
      </c>
      <c r="J9" s="74">
        <v>50.0</v>
      </c>
      <c r="K9" s="77">
        <f>IFERROR(__xludf.DUMMYFUNCTION("AVERAGE.WEIGHTED(I9:I10,J9:J10)"),241.04809523809524)</f>
        <v>241.0480952</v>
      </c>
    </row>
    <row r="10">
      <c r="B10" s="6" t="s">
        <v>214</v>
      </c>
      <c r="C10" s="79">
        <v>0.0109</v>
      </c>
      <c r="D10" s="80">
        <v>13.0</v>
      </c>
      <c r="H10" s="6" t="s">
        <v>214</v>
      </c>
      <c r="I10" s="81">
        <v>215.31</v>
      </c>
      <c r="J10" s="80">
        <v>13.0</v>
      </c>
    </row>
    <row r="11">
      <c r="A11" s="71">
        <v>44413.0</v>
      </c>
      <c r="B11" s="72" t="s">
        <v>12</v>
      </c>
      <c r="C11" s="73">
        <v>0.0029</v>
      </c>
      <c r="D11" s="74">
        <v>33.0</v>
      </c>
      <c r="E11" s="75">
        <f>IFERROR(__xludf.DUMMYFUNCTION("AVERAGE.WEIGHTED(C11:C12,D11:D12)"),0.0028736842105263156)</f>
        <v>0.002873684211</v>
      </c>
      <c r="G11" s="71">
        <v>44413.0</v>
      </c>
      <c r="H11" s="72" t="s">
        <v>12</v>
      </c>
      <c r="I11" s="76">
        <v>257.61</v>
      </c>
      <c r="J11" s="74">
        <v>33.0</v>
      </c>
      <c r="K11" s="77">
        <f>IFERROR(__xludf.DUMMYFUNCTION("AVERAGE.WEIGHTED(I11:I12,J11:J12)"),253.08236842105265)</f>
        <v>253.0823684</v>
      </c>
    </row>
    <row r="12">
      <c r="B12" s="6" t="s">
        <v>214</v>
      </c>
      <c r="C12" s="79">
        <v>0.0027</v>
      </c>
      <c r="D12" s="80">
        <v>5.0</v>
      </c>
      <c r="H12" s="6" t="s">
        <v>214</v>
      </c>
      <c r="I12" s="81">
        <v>223.2</v>
      </c>
      <c r="J12" s="80">
        <v>5.0</v>
      </c>
    </row>
    <row r="13">
      <c r="A13" s="71">
        <v>44414.0</v>
      </c>
      <c r="B13" s="72" t="s">
        <v>12</v>
      </c>
      <c r="C13" s="73">
        <v>0.0045</v>
      </c>
      <c r="D13" s="74">
        <v>39.0</v>
      </c>
      <c r="E13" s="75">
        <f>IFERROR(__xludf.DUMMYFUNCTION("AVERAGE.WEIGHTED(C13:C14,D13:D14)"),0.005401818181818181)</f>
        <v>0.005401818182</v>
      </c>
      <c r="G13" s="71">
        <v>44414.0</v>
      </c>
      <c r="H13" s="72" t="s">
        <v>12</v>
      </c>
      <c r="I13" s="76">
        <v>261.46</v>
      </c>
      <c r="J13" s="74">
        <v>39.0</v>
      </c>
      <c r="K13" s="77">
        <f>IFERROR(__xludf.DUMMYFUNCTION("AVERAGE.WEIGHTED(I13:I14,J13:J14)"),256.2178181818182)</f>
        <v>256.2178182</v>
      </c>
    </row>
    <row r="14">
      <c r="B14" s="6" t="s">
        <v>214</v>
      </c>
      <c r="C14" s="79">
        <v>0.0076</v>
      </c>
      <c r="D14" s="80">
        <v>16.0</v>
      </c>
      <c r="H14" s="6" t="s">
        <v>214</v>
      </c>
      <c r="I14" s="81">
        <v>243.44</v>
      </c>
      <c r="J14" s="80">
        <v>16.0</v>
      </c>
    </row>
    <row r="15">
      <c r="A15" s="71">
        <v>44415.0</v>
      </c>
      <c r="B15" s="72" t="s">
        <v>12</v>
      </c>
      <c r="C15" s="73">
        <v>0.0068</v>
      </c>
      <c r="D15" s="74">
        <v>31.0</v>
      </c>
      <c r="E15" s="75">
        <f>IFERROR(__xludf.DUMMYFUNCTION("AVERAGE.WEIGHTED(C15:C16,D15:D16)"),0.008775999999999999)</f>
        <v>0.008776</v>
      </c>
      <c r="G15" s="71">
        <v>44415.0</v>
      </c>
      <c r="H15" s="72" t="s">
        <v>12</v>
      </c>
      <c r="I15" s="76">
        <v>257.0</v>
      </c>
      <c r="J15" s="74">
        <v>31.0</v>
      </c>
      <c r="K15" s="77">
        <f>IFERROR(__xludf.DUMMYFUNCTION("AVERAGE.WEIGHTED(I15:I16,J15:J16)"),242.199)</f>
        <v>242.199</v>
      </c>
    </row>
    <row r="16">
      <c r="B16" s="6" t="s">
        <v>214</v>
      </c>
      <c r="C16" s="79">
        <v>0.012</v>
      </c>
      <c r="D16" s="80">
        <v>19.0</v>
      </c>
      <c r="H16" s="6" t="s">
        <v>214</v>
      </c>
      <c r="I16" s="81">
        <v>218.05</v>
      </c>
      <c r="J16" s="80">
        <v>19.0</v>
      </c>
    </row>
    <row r="17">
      <c r="A17" s="71">
        <v>44416.0</v>
      </c>
      <c r="B17" s="72" t="s">
        <v>12</v>
      </c>
      <c r="C17" s="73">
        <v>0.009</v>
      </c>
      <c r="D17" s="74">
        <v>34.0</v>
      </c>
      <c r="E17" s="75">
        <f>IFERROR(__xludf.DUMMYFUNCTION("AVERAGE.WEIGHTED(C17:C18,D17:D18)"),0.00878)</f>
        <v>0.00878</v>
      </c>
      <c r="G17" s="71">
        <v>44416.0</v>
      </c>
      <c r="H17" s="72" t="s">
        <v>12</v>
      </c>
      <c r="I17" s="76">
        <v>278.97</v>
      </c>
      <c r="J17" s="74">
        <v>34.0</v>
      </c>
      <c r="K17" s="77">
        <f>IFERROR(__xludf.DUMMYFUNCTION("AVERAGE.WEIGHTED(I17:I18,J17:J18)"),271.57800000000003)</f>
        <v>271.578</v>
      </c>
    </row>
    <row r="18">
      <c r="B18" s="6" t="s">
        <v>214</v>
      </c>
      <c r="C18" s="79">
        <v>0.0081</v>
      </c>
      <c r="D18" s="80">
        <v>11.0</v>
      </c>
      <c r="H18" s="6" t="s">
        <v>214</v>
      </c>
      <c r="I18" s="81">
        <v>248.73</v>
      </c>
      <c r="J18" s="80">
        <v>11.0</v>
      </c>
    </row>
    <row r="19">
      <c r="A19" s="71">
        <v>44417.0</v>
      </c>
      <c r="B19" s="72" t="s">
        <v>12</v>
      </c>
      <c r="C19" s="73">
        <v>0.0055</v>
      </c>
      <c r="D19" s="74">
        <v>25.0</v>
      </c>
      <c r="E19" s="75">
        <f>IFERROR(__xludf.DUMMYFUNCTION("AVERAGE.WEIGHTED(C19:C20,D19:D20)"),0.005539024390243902)</f>
        <v>0.00553902439</v>
      </c>
      <c r="G19" s="71">
        <v>44417.0</v>
      </c>
      <c r="H19" s="72" t="s">
        <v>12</v>
      </c>
      <c r="I19" s="76">
        <v>220.76</v>
      </c>
      <c r="J19" s="74">
        <v>25.0</v>
      </c>
      <c r="K19" s="77">
        <f>IFERROR(__xludf.DUMMYFUNCTION("AVERAGE.WEIGHTED(I19:I20,J19:J20)"),234.02439024390245)</f>
        <v>234.0243902</v>
      </c>
    </row>
    <row r="20">
      <c r="B20" s="6" t="s">
        <v>214</v>
      </c>
      <c r="C20" s="79">
        <v>0.0056</v>
      </c>
      <c r="D20" s="80">
        <v>16.0</v>
      </c>
      <c r="H20" s="6" t="s">
        <v>214</v>
      </c>
      <c r="I20" s="81">
        <v>254.75</v>
      </c>
      <c r="J20" s="80">
        <v>16.0</v>
      </c>
    </row>
    <row r="21">
      <c r="A21" s="71">
        <v>44418.0</v>
      </c>
      <c r="B21" s="72" t="s">
        <v>12</v>
      </c>
      <c r="C21" s="73">
        <v>0.0066</v>
      </c>
      <c r="D21" s="74">
        <v>25.0</v>
      </c>
      <c r="E21" s="75">
        <f>IFERROR(__xludf.DUMMYFUNCTION("AVERAGE.WEIGHTED(C21:C22,D21:D22)"),0.005571875)</f>
        <v>0.005571875</v>
      </c>
      <c r="G21" s="71">
        <v>44418.0</v>
      </c>
      <c r="H21" s="72" t="s">
        <v>12</v>
      </c>
      <c r="I21" s="76">
        <v>284.6</v>
      </c>
      <c r="J21" s="74">
        <v>25.0</v>
      </c>
      <c r="K21" s="77">
        <f>IFERROR(__xludf.DUMMYFUNCTION("AVERAGE.WEIGHTED(I21:I22,J21:J22)"),275.749375)</f>
        <v>275.749375</v>
      </c>
    </row>
    <row r="22">
      <c r="B22" s="6" t="s">
        <v>214</v>
      </c>
      <c r="C22" s="79">
        <v>0.0019</v>
      </c>
      <c r="D22" s="80">
        <v>7.0</v>
      </c>
      <c r="H22" s="6" t="s">
        <v>214</v>
      </c>
      <c r="I22" s="81">
        <v>244.14</v>
      </c>
      <c r="J22" s="80">
        <v>7.0</v>
      </c>
    </row>
    <row r="23">
      <c r="A23" s="71">
        <v>44419.0</v>
      </c>
      <c r="B23" s="72" t="s">
        <v>12</v>
      </c>
      <c r="C23" s="73">
        <v>0.0076</v>
      </c>
      <c r="D23" s="74">
        <v>29.0</v>
      </c>
      <c r="E23" s="75">
        <f>IFERROR(__xludf.DUMMYFUNCTION("AVERAGE.WEIGHTED(C23:C24,D23:D24)"),0.006744444444444444)</f>
        <v>0.006744444444</v>
      </c>
      <c r="G23" s="71">
        <v>44419.0</v>
      </c>
      <c r="H23" s="72" t="s">
        <v>12</v>
      </c>
      <c r="I23" s="76">
        <v>245.52</v>
      </c>
      <c r="J23" s="74">
        <v>29.0</v>
      </c>
      <c r="K23" s="77">
        <f>IFERROR(__xludf.DUMMYFUNCTION("AVERAGE.WEIGHTED(I23:I24,J23:J24)"),249.28055555555557)</f>
        <v>249.2805556</v>
      </c>
    </row>
    <row r="24">
      <c r="B24" s="6" t="s">
        <v>214</v>
      </c>
      <c r="C24" s="79">
        <v>0.0032</v>
      </c>
      <c r="D24" s="80">
        <v>7.0</v>
      </c>
      <c r="H24" s="6" t="s">
        <v>214</v>
      </c>
      <c r="I24" s="81">
        <v>264.86</v>
      </c>
      <c r="J24" s="80">
        <v>7.0</v>
      </c>
    </row>
    <row r="25">
      <c r="A25" s="71">
        <v>44420.0</v>
      </c>
      <c r="B25" s="72" t="s">
        <v>12</v>
      </c>
      <c r="C25" s="73">
        <v>0.0062</v>
      </c>
      <c r="D25" s="74">
        <v>27.0</v>
      </c>
      <c r="E25" s="75">
        <f>IFERROR(__xludf.DUMMYFUNCTION("AVERAGE.WEIGHTED(C25:C26,D25:D26)"),0.005971428571428571)</f>
        <v>0.005971428571</v>
      </c>
      <c r="G25" s="71">
        <v>44420.0</v>
      </c>
      <c r="H25" s="72" t="s">
        <v>12</v>
      </c>
      <c r="I25" s="76">
        <v>261.41</v>
      </c>
      <c r="J25" s="74">
        <v>27.0</v>
      </c>
      <c r="K25" s="77">
        <f>IFERROR(__xludf.DUMMYFUNCTION("AVERAGE.WEIGHTED(I25:I26,J25:J26)"),259.9174285714286)</f>
        <v>259.9174286</v>
      </c>
    </row>
    <row r="26">
      <c r="B26" s="6" t="s">
        <v>214</v>
      </c>
      <c r="C26" s="79">
        <v>0.0052</v>
      </c>
      <c r="D26" s="80">
        <v>8.0</v>
      </c>
      <c r="H26" s="6" t="s">
        <v>214</v>
      </c>
      <c r="I26" s="81">
        <v>254.88</v>
      </c>
      <c r="J26" s="80">
        <v>8.0</v>
      </c>
    </row>
    <row r="27">
      <c r="A27" s="71">
        <v>44421.0</v>
      </c>
      <c r="B27" s="72" t="s">
        <v>12</v>
      </c>
      <c r="C27" s="73">
        <v>0.0049</v>
      </c>
      <c r="D27" s="74">
        <v>24.0</v>
      </c>
      <c r="E27" s="75">
        <f>IFERROR(__xludf.DUMMYFUNCTION("AVERAGE.WEIGHTED(C27:C28,D27:D28)"),0.004623076923076923)</f>
        <v>0.004623076923</v>
      </c>
      <c r="G27" s="71">
        <v>44421.0</v>
      </c>
      <c r="H27" s="72" t="s">
        <v>12</v>
      </c>
      <c r="I27" s="76">
        <v>276.04</v>
      </c>
      <c r="J27" s="74">
        <v>24.0</v>
      </c>
      <c r="K27" s="77">
        <f>IFERROR(__xludf.DUMMYFUNCTION("AVERAGE.WEIGHTED(I27:I28,J27:J28)"),275.5753846153846)</f>
        <v>275.5753846</v>
      </c>
    </row>
    <row r="28">
      <c r="B28" s="6" t="s">
        <v>214</v>
      </c>
      <c r="C28" s="79">
        <v>0.0013</v>
      </c>
      <c r="D28" s="80">
        <v>2.0</v>
      </c>
      <c r="H28" s="6" t="s">
        <v>214</v>
      </c>
      <c r="I28" s="81">
        <v>270.0</v>
      </c>
      <c r="J28" s="80">
        <v>2.0</v>
      </c>
    </row>
    <row r="29">
      <c r="A29" s="71">
        <v>44422.0</v>
      </c>
      <c r="B29" s="72" t="s">
        <v>12</v>
      </c>
      <c r="C29" s="73">
        <v>0.0062</v>
      </c>
      <c r="D29" s="74">
        <v>20.0</v>
      </c>
      <c r="E29" s="75">
        <f>IFERROR(__xludf.DUMMYFUNCTION("AVERAGE.WEIGHTED(C29:C30,D29:D30)"),0.00558)</f>
        <v>0.00558</v>
      </c>
      <c r="G29" s="71">
        <v>44422.0</v>
      </c>
      <c r="H29" s="72" t="s">
        <v>12</v>
      </c>
      <c r="I29" s="76">
        <v>271.3</v>
      </c>
      <c r="J29" s="74">
        <v>20.0</v>
      </c>
      <c r="K29" s="77">
        <f>IFERROR(__xludf.DUMMYFUNCTION("AVERAGE.WEIGHTED(I29:I30,J29:J30)"),269.32)</f>
        <v>269.32</v>
      </c>
    </row>
    <row r="30">
      <c r="B30" s="6" t="s">
        <v>214</v>
      </c>
      <c r="C30" s="79">
        <v>0.0031</v>
      </c>
      <c r="D30" s="80">
        <v>5.0</v>
      </c>
      <c r="H30" s="6" t="s">
        <v>214</v>
      </c>
      <c r="I30" s="81">
        <v>261.4</v>
      </c>
      <c r="J30" s="80">
        <v>5.0</v>
      </c>
    </row>
    <row r="31">
      <c r="A31" s="71">
        <v>44423.0</v>
      </c>
      <c r="B31" s="72" t="s">
        <v>12</v>
      </c>
      <c r="C31" s="73">
        <v>0.01</v>
      </c>
      <c r="D31" s="74">
        <v>31.0</v>
      </c>
      <c r="E31" s="75">
        <f>IFERROR(__xludf.DUMMYFUNCTION("AVERAGE.WEIGHTED(C31:C32,D31:D32)"),0.00910857142857143)</f>
        <v>0.009108571429</v>
      </c>
      <c r="G31" s="71">
        <v>44423.0</v>
      </c>
      <c r="H31" s="72" t="s">
        <v>12</v>
      </c>
      <c r="I31" s="76">
        <v>296.71</v>
      </c>
      <c r="J31" s="74">
        <v>31.0</v>
      </c>
      <c r="K31" s="77">
        <f>IFERROR(__xludf.DUMMYFUNCTION("AVERAGE.WEIGHTED(I31:I32,J31:J32)"),287.74314285714286)</f>
        <v>287.7431429</v>
      </c>
    </row>
    <row r="32">
      <c r="B32" s="6" t="s">
        <v>214</v>
      </c>
      <c r="C32" s="79">
        <v>0.0022</v>
      </c>
      <c r="D32" s="80">
        <v>4.0</v>
      </c>
      <c r="H32" s="6" t="s">
        <v>214</v>
      </c>
      <c r="I32" s="81">
        <v>218.25</v>
      </c>
      <c r="J32" s="80">
        <v>4.0</v>
      </c>
    </row>
    <row r="33">
      <c r="A33" s="71">
        <v>44424.0</v>
      </c>
      <c r="B33" s="72" t="s">
        <v>12</v>
      </c>
      <c r="C33" s="73">
        <v>0.01</v>
      </c>
      <c r="D33" s="74">
        <v>27.0</v>
      </c>
      <c r="E33" s="75">
        <f>IFERROR(__xludf.DUMMYFUNCTION("AVERAGE.WEIGHTED(C33:C34,D33:D34)"),0.00890909090909091)</f>
        <v>0.008909090909</v>
      </c>
      <c r="G33" s="71">
        <v>44424.0</v>
      </c>
      <c r="H33" s="72" t="s">
        <v>12</v>
      </c>
      <c r="I33" s="76">
        <v>256.26</v>
      </c>
      <c r="J33" s="74">
        <v>27.0</v>
      </c>
      <c r="K33" s="77">
        <f>IFERROR(__xludf.DUMMYFUNCTION("AVERAGE.WEIGHTED(I33:I34,J33:J34)"),270.94)</f>
        <v>270.94</v>
      </c>
    </row>
    <row r="34">
      <c r="B34" s="6" t="s">
        <v>214</v>
      </c>
      <c r="C34" s="79">
        <v>0.004</v>
      </c>
      <c r="D34" s="80">
        <v>6.0</v>
      </c>
      <c r="H34" s="6" t="s">
        <v>214</v>
      </c>
      <c r="I34" s="81">
        <v>337.0</v>
      </c>
      <c r="J34" s="80">
        <v>6.0</v>
      </c>
    </row>
    <row r="35">
      <c r="A35" s="71">
        <v>44425.0</v>
      </c>
      <c r="B35" s="72" t="s">
        <v>12</v>
      </c>
      <c r="C35" s="73">
        <v>0.0076</v>
      </c>
      <c r="D35" s="74">
        <v>24.0</v>
      </c>
      <c r="E35" s="75">
        <f>IFERROR(__xludf.DUMMYFUNCTION("AVERAGE.WEIGHTED(C35:C36,D35:D36)"),0.007332)</f>
        <v>0.007332</v>
      </c>
      <c r="G35" s="71">
        <v>44425.0</v>
      </c>
      <c r="H35" s="72" t="s">
        <v>12</v>
      </c>
      <c r="I35" s="76">
        <v>261.54</v>
      </c>
      <c r="J35" s="74">
        <v>24.0</v>
      </c>
      <c r="K35" s="77">
        <f>IFERROR(__xludf.DUMMYFUNCTION("AVERAGE.WEIGHTED(I35:I36,J35:J36)"),259.8784)</f>
        <v>259.8784</v>
      </c>
    </row>
    <row r="36">
      <c r="B36" s="6" t="s">
        <v>214</v>
      </c>
      <c r="C36" s="79">
        <v>9.0E-4</v>
      </c>
      <c r="D36" s="80">
        <v>1.0</v>
      </c>
      <c r="H36" s="6" t="s">
        <v>214</v>
      </c>
      <c r="I36" s="81">
        <v>220.0</v>
      </c>
      <c r="J36" s="80">
        <v>1.0</v>
      </c>
    </row>
    <row r="37">
      <c r="A37" s="71">
        <v>44426.0</v>
      </c>
      <c r="B37" s="72" t="s">
        <v>12</v>
      </c>
      <c r="C37" s="73">
        <v>0.0078</v>
      </c>
      <c r="D37" s="74">
        <v>29.0</v>
      </c>
      <c r="E37" s="75">
        <f>IFERROR(__xludf.DUMMYFUNCTION("AVERAGE.WEIGHTED(C37:C38,D37:D38)"),0.0078)</f>
        <v>0.0078</v>
      </c>
      <c r="G37" s="71">
        <v>44426.0</v>
      </c>
      <c r="H37" s="72" t="s">
        <v>12</v>
      </c>
      <c r="I37" s="76">
        <v>257.52</v>
      </c>
      <c r="J37" s="74">
        <v>29.0</v>
      </c>
      <c r="K37" s="77">
        <f>IFERROR(__xludf.DUMMYFUNCTION("AVERAGE.WEIGHTED(I37:I38,J37:J38)"),257.52)</f>
        <v>257.52</v>
      </c>
    </row>
    <row r="38">
      <c r="B38" s="6" t="s">
        <v>214</v>
      </c>
      <c r="C38" s="79">
        <v>0.0</v>
      </c>
      <c r="D38" s="80">
        <v>0.0</v>
      </c>
      <c r="H38" s="6" t="s">
        <v>214</v>
      </c>
      <c r="I38" s="81">
        <v>0.0</v>
      </c>
      <c r="J38" s="80">
        <v>0.0</v>
      </c>
    </row>
    <row r="39">
      <c r="A39" s="71">
        <v>44427.0</v>
      </c>
      <c r="B39" s="72" t="s">
        <v>12</v>
      </c>
      <c r="C39" s="73">
        <v>0.003</v>
      </c>
      <c r="D39" s="74">
        <v>13.0</v>
      </c>
      <c r="E39" s="75">
        <f>IFERROR(__xludf.DUMMYFUNCTION("AVERAGE.WEIGHTED(C39:C40,D39:D40)"),0.003258823529411765)</f>
        <v>0.003258823529</v>
      </c>
      <c r="G39" s="71">
        <v>44427.0</v>
      </c>
      <c r="H39" s="72" t="s">
        <v>12</v>
      </c>
      <c r="I39" s="76">
        <v>261.0</v>
      </c>
      <c r="J39" s="74">
        <v>13.0</v>
      </c>
      <c r="K39" s="77">
        <f>IFERROR(__xludf.DUMMYFUNCTION("AVERAGE.WEIGHTED(I39:I40,J39:J40)"),258.70588235294116)</f>
        <v>258.7058824</v>
      </c>
    </row>
    <row r="40">
      <c r="B40" s="6" t="s">
        <v>214</v>
      </c>
      <c r="C40" s="79">
        <v>0.0041</v>
      </c>
      <c r="D40" s="80">
        <v>4.0</v>
      </c>
      <c r="H40" s="6" t="s">
        <v>214</v>
      </c>
      <c r="I40" s="81">
        <v>251.25</v>
      </c>
      <c r="J40" s="80">
        <v>4.0</v>
      </c>
    </row>
    <row r="41">
      <c r="A41" s="71">
        <v>44428.0</v>
      </c>
      <c r="B41" s="72" t="s">
        <v>12</v>
      </c>
      <c r="C41" s="73">
        <v>0.0099</v>
      </c>
      <c r="D41" s="74">
        <v>31.0</v>
      </c>
      <c r="E41" s="75">
        <f>IFERROR(__xludf.DUMMYFUNCTION("AVERAGE.WEIGHTED(C41:C42,D41:D42)"),0.009429729729729731)</f>
        <v>0.00942972973</v>
      </c>
      <c r="G41" s="71">
        <v>44428.0</v>
      </c>
      <c r="H41" s="72" t="s">
        <v>12</v>
      </c>
      <c r="I41" s="76">
        <v>240.77</v>
      </c>
      <c r="J41" s="74">
        <v>31.0</v>
      </c>
      <c r="K41" s="77">
        <f>IFERROR(__xludf.DUMMYFUNCTION("AVERAGE.WEIGHTED(I41:I42,J41:J42)"),244.67162162162163)</f>
        <v>244.6716216</v>
      </c>
    </row>
    <row r="42">
      <c r="B42" s="6" t="s">
        <v>214</v>
      </c>
      <c r="C42" s="79">
        <v>0.007</v>
      </c>
      <c r="D42" s="80">
        <v>6.0</v>
      </c>
      <c r="H42" s="6" t="s">
        <v>214</v>
      </c>
      <c r="I42" s="81">
        <v>264.83</v>
      </c>
      <c r="J42" s="80">
        <v>6.0</v>
      </c>
    </row>
    <row r="43">
      <c r="A43" s="71">
        <v>44429.0</v>
      </c>
      <c r="B43" s="72" t="s">
        <v>12</v>
      </c>
      <c r="C43" s="73">
        <v>0.0107</v>
      </c>
      <c r="D43" s="74">
        <v>35.0</v>
      </c>
      <c r="E43" s="75">
        <f>IFERROR(__xludf.DUMMYFUNCTION("AVERAGE.WEIGHTED(C43:C44,D43:D44)"),0.0107)</f>
        <v>0.0107</v>
      </c>
      <c r="G43" s="71">
        <v>44429.0</v>
      </c>
      <c r="H43" s="72" t="s">
        <v>12</v>
      </c>
      <c r="I43" s="76">
        <v>275.83</v>
      </c>
      <c r="J43" s="74">
        <v>35.0</v>
      </c>
      <c r="K43" s="77">
        <f>IFERROR(__xludf.DUMMYFUNCTION("AVERAGE.WEIGHTED(I43:I44,J43:J44)"),275.83)</f>
        <v>275.83</v>
      </c>
    </row>
    <row r="44">
      <c r="B44" s="6" t="s">
        <v>214</v>
      </c>
      <c r="C44" s="79">
        <v>0.0</v>
      </c>
      <c r="D44" s="80">
        <v>0.0</v>
      </c>
      <c r="H44" s="6" t="s">
        <v>214</v>
      </c>
      <c r="I44" s="81">
        <v>0.0</v>
      </c>
      <c r="J44" s="80">
        <v>0.0</v>
      </c>
    </row>
    <row r="45">
      <c r="A45" s="71">
        <v>44430.0</v>
      </c>
      <c r="B45" s="72" t="s">
        <v>12</v>
      </c>
      <c r="C45" s="73">
        <v>0.0111</v>
      </c>
      <c r="D45" s="74">
        <v>38.0</v>
      </c>
      <c r="E45" s="75">
        <f>IFERROR(__xludf.DUMMYFUNCTION("AVERAGE.WEIGHTED(C45:C46,D45:D46)"),0.010851282051282052)</f>
        <v>0.01085128205</v>
      </c>
      <c r="G45" s="71">
        <v>44430.0</v>
      </c>
      <c r="H45" s="72" t="s">
        <v>12</v>
      </c>
      <c r="I45" s="76">
        <v>283.68</v>
      </c>
      <c r="J45" s="74">
        <v>38.0</v>
      </c>
      <c r="K45" s="77">
        <f>IFERROR(__xludf.DUMMYFUNCTION("AVERAGE.WEIGHTED(I45:I46,J45:J46)"),281.43179487179486)</f>
        <v>281.4317949</v>
      </c>
    </row>
    <row r="46">
      <c r="B46" s="6" t="s">
        <v>214</v>
      </c>
      <c r="C46" s="79">
        <v>0.0014</v>
      </c>
      <c r="D46" s="80">
        <v>1.0</v>
      </c>
      <c r="H46" s="6" t="s">
        <v>214</v>
      </c>
      <c r="I46" s="81">
        <v>196.0</v>
      </c>
      <c r="J46" s="80">
        <v>1.0</v>
      </c>
    </row>
    <row r="47">
      <c r="A47" s="71">
        <v>44431.0</v>
      </c>
      <c r="B47" s="72" t="s">
        <v>12</v>
      </c>
      <c r="C47" s="73">
        <v>0.0072</v>
      </c>
      <c r="D47" s="74">
        <v>24.0</v>
      </c>
      <c r="E47" s="75">
        <f>IFERROR(__xludf.DUMMYFUNCTION("AVERAGE.WEIGHTED(C47:C48,D47:D48)"),0.0068615384615384615)</f>
        <v>0.006861538462</v>
      </c>
      <c r="G47" s="71">
        <v>44431.0</v>
      </c>
      <c r="H47" s="72" t="s">
        <v>12</v>
      </c>
      <c r="I47" s="76">
        <v>301.25</v>
      </c>
      <c r="J47" s="74">
        <v>24.0</v>
      </c>
      <c r="K47" s="77">
        <f>IFERROR(__xludf.DUMMYFUNCTION("AVERAGE.WEIGHTED(I47:I48,J47:J48)"),296.2692307692308)</f>
        <v>296.2692308</v>
      </c>
    </row>
    <row r="48">
      <c r="B48" s="6" t="s">
        <v>214</v>
      </c>
      <c r="C48" s="79">
        <v>0.0028</v>
      </c>
      <c r="D48" s="80">
        <v>2.0</v>
      </c>
      <c r="H48" s="6" t="s">
        <v>214</v>
      </c>
      <c r="I48" s="81">
        <v>236.5</v>
      </c>
      <c r="J48" s="80">
        <v>2.0</v>
      </c>
    </row>
    <row r="49">
      <c r="A49" s="71">
        <v>44432.0</v>
      </c>
      <c r="B49" s="72" t="s">
        <v>12</v>
      </c>
      <c r="C49" s="73">
        <v>0.0072</v>
      </c>
      <c r="D49" s="74">
        <v>26.0</v>
      </c>
      <c r="E49" s="75">
        <f>IFERROR(__xludf.DUMMYFUNCTION("AVERAGE.WEIGHTED(C49:C50,D49:D50)"),0.006985185185185185)</f>
        <v>0.006985185185</v>
      </c>
      <c r="G49" s="71">
        <v>44432.0</v>
      </c>
      <c r="H49" s="72" t="s">
        <v>12</v>
      </c>
      <c r="I49" s="76">
        <v>277.0</v>
      </c>
      <c r="J49" s="74">
        <v>26.0</v>
      </c>
      <c r="K49" s="77">
        <f>IFERROR(__xludf.DUMMYFUNCTION("AVERAGE.WEIGHTED(I49:I50,J49:J50)"),274.3703703703704)</f>
        <v>274.3703704</v>
      </c>
    </row>
    <row r="50">
      <c r="B50" s="6" t="s">
        <v>214</v>
      </c>
      <c r="C50" s="79">
        <v>0.0014</v>
      </c>
      <c r="D50" s="80">
        <v>1.0</v>
      </c>
      <c r="H50" s="6" t="s">
        <v>214</v>
      </c>
      <c r="I50" s="81">
        <v>206.0</v>
      </c>
      <c r="J50" s="80">
        <v>1.0</v>
      </c>
    </row>
    <row r="51">
      <c r="A51" s="71">
        <v>44433.0</v>
      </c>
      <c r="B51" s="72" t="s">
        <v>12</v>
      </c>
      <c r="C51" s="73">
        <v>0.0068</v>
      </c>
      <c r="D51" s="74">
        <v>27.0</v>
      </c>
      <c r="E51" s="75">
        <f>IFERROR(__xludf.DUMMYFUNCTION("AVERAGE.WEIGHTED(C51:C52,D51:D52)"),0.00656)</f>
        <v>0.00656</v>
      </c>
      <c r="G51" s="71">
        <v>44433.0</v>
      </c>
      <c r="H51" s="72" t="s">
        <v>12</v>
      </c>
      <c r="I51" s="76">
        <v>265.78</v>
      </c>
      <c r="J51" s="74">
        <v>27.0</v>
      </c>
      <c r="K51" s="77">
        <f>IFERROR(__xludf.DUMMYFUNCTION("AVERAGE.WEIGHTED(I51:I52,J51:J52)"),264.53499999999997)</f>
        <v>264.535</v>
      </c>
    </row>
    <row r="52">
      <c r="B52" s="6" t="s">
        <v>214</v>
      </c>
      <c r="C52" s="79">
        <v>0.0044</v>
      </c>
      <c r="D52" s="80">
        <v>3.0</v>
      </c>
      <c r="H52" s="6" t="s">
        <v>214</v>
      </c>
      <c r="I52" s="81">
        <v>253.33</v>
      </c>
      <c r="J52" s="80">
        <v>3.0</v>
      </c>
    </row>
    <row r="53">
      <c r="A53" s="71">
        <v>44434.0</v>
      </c>
      <c r="B53" s="72" t="s">
        <v>12</v>
      </c>
      <c r="C53" s="73">
        <v>0.0092</v>
      </c>
      <c r="D53" s="74">
        <v>32.0</v>
      </c>
      <c r="E53" s="75">
        <f>IFERROR(__xludf.DUMMYFUNCTION("AVERAGE.WEIGHTED(C53:C54,D53:D54)"),0.009505128205128204)</f>
        <v>0.009505128205</v>
      </c>
      <c r="G53" s="71">
        <v>44434.0</v>
      </c>
      <c r="H53" s="72" t="s">
        <v>12</v>
      </c>
      <c r="I53" s="76">
        <v>245.06</v>
      </c>
      <c r="J53" s="74">
        <v>32.0</v>
      </c>
      <c r="K53" s="77">
        <f>IFERROR(__xludf.DUMMYFUNCTION("AVERAGE.WEIGHTED(I53:I54,J53:J54)"),244.6902564102564)</f>
        <v>244.6902564</v>
      </c>
    </row>
    <row r="54">
      <c r="B54" s="6" t="s">
        <v>214</v>
      </c>
      <c r="C54" s="79">
        <v>0.0109</v>
      </c>
      <c r="D54" s="80">
        <v>7.0</v>
      </c>
      <c r="H54" s="6" t="s">
        <v>214</v>
      </c>
      <c r="I54" s="81">
        <v>243.0</v>
      </c>
      <c r="J54" s="80">
        <v>7.0</v>
      </c>
    </row>
    <row r="55">
      <c r="A55" s="71">
        <v>44435.0</v>
      </c>
      <c r="B55" s="72" t="s">
        <v>12</v>
      </c>
      <c r="C55" s="73">
        <v>0.0116</v>
      </c>
      <c r="D55" s="74">
        <v>34.0</v>
      </c>
      <c r="E55" s="75">
        <f>IFERROR(__xludf.DUMMYFUNCTION("AVERAGE.WEIGHTED(C55:C56,D55:D56)"),0.01117027027027027)</f>
        <v>0.01117027027</v>
      </c>
      <c r="G55" s="71">
        <v>44435.0</v>
      </c>
      <c r="H55" s="72" t="s">
        <v>12</v>
      </c>
      <c r="I55" s="76">
        <v>254.26</v>
      </c>
      <c r="J55" s="74">
        <v>34.0</v>
      </c>
      <c r="K55" s="77">
        <f>IFERROR(__xludf.DUMMYFUNCTION("AVERAGE.WEIGHTED(I55:I56,J55:J56)"),250.29270270270268)</f>
        <v>250.2927027</v>
      </c>
    </row>
    <row r="56">
      <c r="B56" s="6" t="s">
        <v>214</v>
      </c>
      <c r="C56" s="79">
        <v>0.0063</v>
      </c>
      <c r="D56" s="80">
        <v>3.0</v>
      </c>
      <c r="H56" s="6" t="s">
        <v>214</v>
      </c>
      <c r="I56" s="81">
        <v>205.33</v>
      </c>
      <c r="J56" s="80">
        <v>3.0</v>
      </c>
    </row>
    <row r="57">
      <c r="A57" s="71">
        <v>44436.0</v>
      </c>
      <c r="B57" s="72" t="s">
        <v>12</v>
      </c>
      <c r="C57" s="73">
        <v>0.0106</v>
      </c>
      <c r="D57" s="74">
        <v>28.0</v>
      </c>
      <c r="E57" s="75">
        <f>IFERROR(__xludf.DUMMYFUNCTION("AVERAGE.WEIGHTED(C57:C58,D57:D58)"),0.010337931034482759)</f>
        <v>0.01033793103</v>
      </c>
      <c r="G57" s="71">
        <v>44436.0</v>
      </c>
      <c r="H57" s="72" t="s">
        <v>12</v>
      </c>
      <c r="I57" s="76">
        <v>279.79</v>
      </c>
      <c r="J57" s="74">
        <v>28.0</v>
      </c>
      <c r="K57" s="77">
        <f>IFERROR(__xludf.DUMMYFUNCTION("AVERAGE.WEIGHTED(I57:I58,J57:J58)"),277.1075862068966)</f>
        <v>277.1075862</v>
      </c>
    </row>
    <row r="58">
      <c r="B58" s="6" t="s">
        <v>214</v>
      </c>
      <c r="C58" s="79">
        <v>0.003</v>
      </c>
      <c r="D58" s="80">
        <v>1.0</v>
      </c>
      <c r="H58" s="6" t="s">
        <v>214</v>
      </c>
      <c r="I58" s="81">
        <v>202.0</v>
      </c>
      <c r="J58" s="80">
        <v>1.0</v>
      </c>
    </row>
    <row r="59">
      <c r="A59" s="71">
        <v>44437.0</v>
      </c>
      <c r="B59" s="72" t="s">
        <v>12</v>
      </c>
      <c r="C59" s="73">
        <v>0.0121</v>
      </c>
      <c r="D59" s="74">
        <v>32.0</v>
      </c>
      <c r="E59" s="75">
        <f>IFERROR(__xludf.DUMMYFUNCTION("AVERAGE.WEIGHTED(C59:C60,D59:D60)"),0.012022222222222222)</f>
        <v>0.01202222222</v>
      </c>
      <c r="G59" s="71">
        <v>44437.0</v>
      </c>
      <c r="H59" s="72" t="s">
        <v>12</v>
      </c>
      <c r="I59" s="76">
        <v>258.44</v>
      </c>
      <c r="J59" s="74">
        <v>32.0</v>
      </c>
      <c r="K59" s="77">
        <f>IFERROR(__xludf.DUMMYFUNCTION("AVERAGE.WEIGHTED(I59:I60,J59:J60)"),253.50222222222223)</f>
        <v>253.5022222</v>
      </c>
    </row>
    <row r="60">
      <c r="B60" s="6" t="s">
        <v>214</v>
      </c>
      <c r="C60" s="79">
        <v>0.0114</v>
      </c>
      <c r="D60" s="80">
        <v>4.0</v>
      </c>
      <c r="H60" s="6" t="s">
        <v>214</v>
      </c>
      <c r="I60" s="81">
        <v>214.0</v>
      </c>
      <c r="J60" s="80">
        <v>4.0</v>
      </c>
    </row>
    <row r="61">
      <c r="A61" s="71">
        <v>44438.0</v>
      </c>
      <c r="B61" s="72" t="s">
        <v>12</v>
      </c>
      <c r="C61" s="73">
        <v>0.0171</v>
      </c>
      <c r="D61" s="74">
        <v>30.0</v>
      </c>
      <c r="E61" s="75">
        <f>IFERROR(__xludf.DUMMYFUNCTION("AVERAGE.WEIGHTED(C61:C62,D61:D62)"),0.01669032258064516)</f>
        <v>0.01669032258</v>
      </c>
      <c r="G61" s="71">
        <v>44438.0</v>
      </c>
      <c r="H61" s="72" t="s">
        <v>12</v>
      </c>
      <c r="I61" s="76">
        <v>241.2</v>
      </c>
      <c r="J61" s="74">
        <v>30.0</v>
      </c>
      <c r="K61" s="77">
        <f>IFERROR(__xludf.DUMMYFUNCTION("AVERAGE.WEIGHTED(I61:I62,J61:J62)"),241.64516129032256)</f>
        <v>241.6451613</v>
      </c>
    </row>
    <row r="62">
      <c r="B62" s="6" t="s">
        <v>214</v>
      </c>
      <c r="C62" s="79">
        <v>0.0044</v>
      </c>
      <c r="D62" s="80">
        <v>1.0</v>
      </c>
      <c r="H62" s="6" t="s">
        <v>214</v>
      </c>
      <c r="I62" s="81">
        <v>255.0</v>
      </c>
      <c r="J62" s="80">
        <v>1.0</v>
      </c>
    </row>
    <row r="63">
      <c r="A63" s="71">
        <v>44439.0</v>
      </c>
      <c r="B63" s="72" t="s">
        <v>12</v>
      </c>
      <c r="C63" s="73">
        <v>0.016</v>
      </c>
      <c r="D63" s="74">
        <v>20.0</v>
      </c>
      <c r="E63" s="75">
        <f>IFERROR(__xludf.DUMMYFUNCTION("AVERAGE.WEIGHTED(C63:C64,D63:D64)"),0.016)</f>
        <v>0.016</v>
      </c>
      <c r="G63" s="71">
        <v>44439.0</v>
      </c>
      <c r="H63" s="72" t="s">
        <v>12</v>
      </c>
      <c r="I63" s="76">
        <v>245.5</v>
      </c>
      <c r="J63" s="74">
        <v>20.0</v>
      </c>
      <c r="K63" s="77">
        <f>IFERROR(__xludf.DUMMYFUNCTION("AVERAGE.WEIGHTED(I63:I64,J63:J64)"),245.5)</f>
        <v>245.5</v>
      </c>
    </row>
    <row r="64">
      <c r="B64" s="6" t="s">
        <v>214</v>
      </c>
      <c r="C64" s="79">
        <v>0.0</v>
      </c>
      <c r="D64" s="80">
        <v>0.0</v>
      </c>
      <c r="H64" s="6" t="s">
        <v>214</v>
      </c>
      <c r="I64" s="81">
        <v>0.0</v>
      </c>
      <c r="J64" s="80">
        <v>0.0</v>
      </c>
    </row>
  </sheetData>
  <mergeCells count="126">
    <mergeCell ref="E11:E12"/>
    <mergeCell ref="E13:E14"/>
    <mergeCell ref="E15:E16"/>
    <mergeCell ref="E17:E18"/>
    <mergeCell ref="E19:E20"/>
    <mergeCell ref="E21:E22"/>
    <mergeCell ref="E23:E24"/>
    <mergeCell ref="E25:E26"/>
    <mergeCell ref="E27:E28"/>
    <mergeCell ref="E35:E36"/>
    <mergeCell ref="E37:E38"/>
    <mergeCell ref="E39:E40"/>
    <mergeCell ref="E41:E42"/>
    <mergeCell ref="E43:E44"/>
    <mergeCell ref="E59:E60"/>
    <mergeCell ref="E61:E62"/>
    <mergeCell ref="E63:E64"/>
    <mergeCell ref="E45:E46"/>
    <mergeCell ref="E47:E48"/>
    <mergeCell ref="E49:E50"/>
    <mergeCell ref="E51:E52"/>
    <mergeCell ref="E53:E54"/>
    <mergeCell ref="E55:E56"/>
    <mergeCell ref="E57:E5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61:A62"/>
    <mergeCell ref="A63:A64"/>
    <mergeCell ref="A47:A48"/>
    <mergeCell ref="A49:A50"/>
    <mergeCell ref="A51:A52"/>
    <mergeCell ref="A53:A54"/>
    <mergeCell ref="A55:A56"/>
    <mergeCell ref="A57:A58"/>
    <mergeCell ref="A59:A60"/>
    <mergeCell ref="K21:K22"/>
    <mergeCell ref="K23:K24"/>
    <mergeCell ref="K25:K26"/>
    <mergeCell ref="K27:K28"/>
    <mergeCell ref="K29:K30"/>
    <mergeCell ref="K31:K32"/>
    <mergeCell ref="K33:K34"/>
    <mergeCell ref="K61:K62"/>
    <mergeCell ref="K63:K64"/>
    <mergeCell ref="K35:K36"/>
    <mergeCell ref="K37:K38"/>
    <mergeCell ref="K51:K52"/>
    <mergeCell ref="K53:K54"/>
    <mergeCell ref="K55:K56"/>
    <mergeCell ref="K57:K58"/>
    <mergeCell ref="K59:K60"/>
    <mergeCell ref="G49:G50"/>
    <mergeCell ref="G51:G52"/>
    <mergeCell ref="G53:G54"/>
    <mergeCell ref="G55:G56"/>
    <mergeCell ref="G57:G58"/>
    <mergeCell ref="G59:G60"/>
    <mergeCell ref="G61:G62"/>
    <mergeCell ref="G63:G64"/>
    <mergeCell ref="G35:G36"/>
    <mergeCell ref="G37:G38"/>
    <mergeCell ref="G39:G40"/>
    <mergeCell ref="G41:G42"/>
    <mergeCell ref="G43:G44"/>
    <mergeCell ref="G45:G46"/>
    <mergeCell ref="G47:G48"/>
    <mergeCell ref="A1:E1"/>
    <mergeCell ref="G1:K1"/>
    <mergeCell ref="A3:A4"/>
    <mergeCell ref="E3:E4"/>
    <mergeCell ref="K3:K4"/>
    <mergeCell ref="E5:E6"/>
    <mergeCell ref="K5:K6"/>
    <mergeCell ref="G3:G4"/>
    <mergeCell ref="G5:G6"/>
    <mergeCell ref="E7:E8"/>
    <mergeCell ref="G7:G8"/>
    <mergeCell ref="E9:E10"/>
    <mergeCell ref="G9:G10"/>
    <mergeCell ref="G11:G12"/>
    <mergeCell ref="A5:A6"/>
    <mergeCell ref="A7:A8"/>
    <mergeCell ref="A9:A10"/>
    <mergeCell ref="A11:A12"/>
    <mergeCell ref="A13:A14"/>
    <mergeCell ref="A15:A16"/>
    <mergeCell ref="A17:A18"/>
    <mergeCell ref="G13:G14"/>
    <mergeCell ref="G15:G16"/>
    <mergeCell ref="G17:G18"/>
    <mergeCell ref="G19:G20"/>
    <mergeCell ref="G21:G22"/>
    <mergeCell ref="G23:G24"/>
    <mergeCell ref="G25:G26"/>
    <mergeCell ref="G27:G28"/>
    <mergeCell ref="E29:E30"/>
    <mergeCell ref="G29:G30"/>
    <mergeCell ref="E31:E32"/>
    <mergeCell ref="G31:G32"/>
    <mergeCell ref="E33:E34"/>
    <mergeCell ref="G33:G34"/>
    <mergeCell ref="K39:K40"/>
    <mergeCell ref="K41:K42"/>
    <mergeCell ref="K43:K44"/>
    <mergeCell ref="K45:K46"/>
    <mergeCell ref="K47:K48"/>
    <mergeCell ref="K49:K50"/>
    <mergeCell ref="K7:K8"/>
    <mergeCell ref="K9:K10"/>
    <mergeCell ref="K11:K12"/>
    <mergeCell ref="K13:K14"/>
    <mergeCell ref="K15:K16"/>
    <mergeCell ref="K17:K18"/>
    <mergeCell ref="K19:K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0" t="s">
        <v>244</v>
      </c>
    </row>
    <row r="3">
      <c r="A3" s="121" t="s">
        <v>245</v>
      </c>
    </row>
    <row r="4">
      <c r="H4" s="122">
        <v>1.634038E7</v>
      </c>
    </row>
    <row r="5">
      <c r="A5" s="22" t="s">
        <v>246</v>
      </c>
      <c r="H5" s="123"/>
    </row>
    <row r="6">
      <c r="A6" s="124" t="s">
        <v>247</v>
      </c>
      <c r="H6" s="123"/>
    </row>
    <row r="8">
      <c r="A8" s="124" t="s">
        <v>248</v>
      </c>
      <c r="H8" s="125" t="s">
        <v>249</v>
      </c>
    </row>
    <row r="10">
      <c r="A10" s="124" t="s">
        <v>250</v>
      </c>
    </row>
    <row r="13">
      <c r="A13" s="124" t="s">
        <v>251</v>
      </c>
    </row>
    <row r="16">
      <c r="A16" s="124" t="s">
        <v>252</v>
      </c>
    </row>
    <row r="19">
      <c r="A19" s="127" t="s">
        <v>253</v>
      </c>
      <c r="B19" s="128"/>
      <c r="C19" s="128"/>
      <c r="D19" s="127" t="s">
        <v>254</v>
      </c>
      <c r="E19" s="127" t="s">
        <v>255</v>
      </c>
      <c r="F19" s="128"/>
      <c r="G19" s="127" t="s">
        <v>257</v>
      </c>
      <c r="H19" s="127" t="s">
        <v>258</v>
      </c>
      <c r="I19" s="127" t="s">
        <v>259</v>
      </c>
      <c r="J19" s="127" t="s">
        <v>260</v>
      </c>
      <c r="K19" s="127" t="s">
        <v>261</v>
      </c>
      <c r="L19" s="127" t="s">
        <v>262</v>
      </c>
      <c r="M19" s="127" t="s">
        <v>263</v>
      </c>
      <c r="N19" s="127" t="s">
        <v>264</v>
      </c>
      <c r="O19" s="127" t="s">
        <v>265</v>
      </c>
      <c r="P19" s="128"/>
      <c r="Q19" s="127" t="s">
        <v>266</v>
      </c>
      <c r="R19" s="127" t="s">
        <v>267</v>
      </c>
      <c r="S19" s="127" t="s">
        <v>268</v>
      </c>
      <c r="T19" s="127" t="s">
        <v>269</v>
      </c>
      <c r="U19" s="127" t="s">
        <v>270</v>
      </c>
      <c r="V19" s="128"/>
      <c r="W19" s="127" t="s">
        <v>271</v>
      </c>
      <c r="X19" s="127" t="s">
        <v>272</v>
      </c>
      <c r="Y19" s="127" t="s">
        <v>273</v>
      </c>
      <c r="Z19" s="127" t="s">
        <v>275</v>
      </c>
      <c r="AA19" s="127" t="s">
        <v>276</v>
      </c>
      <c r="AB19" s="127" t="s">
        <v>277</v>
      </c>
      <c r="AC19" s="127" t="s">
        <v>278</v>
      </c>
      <c r="AD19" s="127" t="s">
        <v>279</v>
      </c>
      <c r="AE19" s="127" t="s">
        <v>280</v>
      </c>
      <c r="AF19" s="127" t="s">
        <v>281</v>
      </c>
      <c r="AG19" s="127" t="s">
        <v>282</v>
      </c>
      <c r="AH19" s="128"/>
      <c r="AI19" s="128"/>
      <c r="AJ19" s="127" t="s">
        <v>283</v>
      </c>
      <c r="AK19" s="127" t="s">
        <v>284</v>
      </c>
      <c r="AL19" s="127" t="s">
        <v>285</v>
      </c>
      <c r="AM19" s="128"/>
      <c r="AN19" s="127" t="s">
        <v>286</v>
      </c>
      <c r="AO19" s="127" t="s">
        <v>287</v>
      </c>
      <c r="AP19" s="127" t="s">
        <v>288</v>
      </c>
      <c r="AQ19" s="127" t="s">
        <v>289</v>
      </c>
      <c r="AR19" s="128"/>
      <c r="AS19" s="128"/>
      <c r="AT19" s="127" t="s">
        <v>292</v>
      </c>
      <c r="AU19" s="127" t="s">
        <v>293</v>
      </c>
      <c r="AV19" s="127" t="s">
        <v>294</v>
      </c>
      <c r="AW19" s="128"/>
      <c r="AX19" s="128"/>
      <c r="AY19" s="128"/>
      <c r="AZ19" s="128"/>
      <c r="BA19" s="128"/>
      <c r="BB19" s="128"/>
      <c r="BC19" s="128"/>
      <c r="BD19" s="128"/>
      <c r="BE19" s="128"/>
      <c r="BF19" s="128"/>
      <c r="BG19" s="128"/>
      <c r="BH19" s="128"/>
      <c r="BI19" s="128"/>
      <c r="BJ19" s="128"/>
      <c r="BK19" s="128"/>
      <c r="BL19" s="128"/>
      <c r="BM19" s="128"/>
    </row>
    <row r="20" hidden="1">
      <c r="A20" s="22" t="s">
        <v>297</v>
      </c>
      <c r="C20" s="22" t="s">
        <v>298</v>
      </c>
      <c r="D20" s="22" t="s">
        <v>299</v>
      </c>
      <c r="E20" s="22" t="s">
        <v>300</v>
      </c>
      <c r="G20" s="22" t="s">
        <v>301</v>
      </c>
      <c r="H20" s="22" t="s">
        <v>302</v>
      </c>
      <c r="I20" s="22" t="s">
        <v>303</v>
      </c>
      <c r="J20" s="22" t="s">
        <v>304</v>
      </c>
      <c r="K20" s="22" t="s">
        <v>305</v>
      </c>
      <c r="L20" s="22" t="s">
        <v>306</v>
      </c>
      <c r="M20" s="22" t="s">
        <v>307</v>
      </c>
      <c r="N20" s="22" t="s">
        <v>308</v>
      </c>
      <c r="O20" s="22" t="s">
        <v>309</v>
      </c>
      <c r="Q20" s="22" t="s">
        <v>310</v>
      </c>
      <c r="R20" s="22" t="s">
        <v>311</v>
      </c>
      <c r="S20" s="22" t="s">
        <v>312</v>
      </c>
      <c r="T20" s="22" t="s">
        <v>313</v>
      </c>
      <c r="U20" s="22" t="s">
        <v>314</v>
      </c>
      <c r="W20" s="22" t="s">
        <v>315</v>
      </c>
      <c r="X20" s="22" t="s">
        <v>316</v>
      </c>
      <c r="Y20" s="22" t="s">
        <v>317</v>
      </c>
      <c r="Z20" s="22" t="s">
        <v>318</v>
      </c>
      <c r="AA20" s="22" t="s">
        <v>319</v>
      </c>
      <c r="AB20" s="22" t="s">
        <v>321</v>
      </c>
      <c r="AC20" s="22" t="s">
        <v>322</v>
      </c>
      <c r="AD20" s="22" t="s">
        <v>323</v>
      </c>
      <c r="AE20" s="22" t="s">
        <v>324</v>
      </c>
      <c r="AF20" s="22" t="s">
        <v>325</v>
      </c>
      <c r="AG20" s="22" t="s">
        <v>326</v>
      </c>
      <c r="AJ20" s="22" t="s">
        <v>327</v>
      </c>
      <c r="AK20" s="22" t="s">
        <v>328</v>
      </c>
      <c r="AL20" s="22" t="s">
        <v>329</v>
      </c>
      <c r="AN20" s="22" t="s">
        <v>330</v>
      </c>
      <c r="AO20" s="22" t="s">
        <v>331</v>
      </c>
      <c r="AP20" s="22" t="s">
        <v>332</v>
      </c>
      <c r="AQ20" s="22" t="s">
        <v>333</v>
      </c>
      <c r="AR20" s="22" t="s">
        <v>334</v>
      </c>
      <c r="AS20" s="22" t="s">
        <v>335</v>
      </c>
      <c r="AT20" s="22" t="s">
        <v>336</v>
      </c>
      <c r="AU20" s="22" t="s">
        <v>337</v>
      </c>
      <c r="AV20" s="22" t="s">
        <v>338</v>
      </c>
    </row>
    <row r="21">
      <c r="A21" s="130" t="s">
        <v>339</v>
      </c>
      <c r="B21" s="131"/>
      <c r="C21" s="131"/>
      <c r="D21" s="130" t="str">
        <f>IFERROR(__xludf.DUMMYFUNCTION("ARRAY_CONSTRAIN(split(CELL(""ADDRESS"",zsupermetrics_9i4W4hgd80uRpQLMeX0eRnESN8gjyv),""!""),1,1)"),"Formula")</f>
        <v>Formula</v>
      </c>
      <c r="E21" s="130" t="str">
        <f>CELL("ADDRESS",zsupermetrics_9i4W4hgd80uRpQLMeX0eRnESN8gjyv)&amp;":"&amp;address(row(zsupermetrics_9i4W4hgd80uRpQLMeX0eRnESN8gjyv)+rows(zsupermetrics_9i4W4hgd80uRpQLMeX0eRnESN8gjyv)-1,column(zsupermetrics_9i4W4hgd80uRpQLMeX0eRnESN8gjyv)+COLUMNS(zsupermetrics_9i4W4hgd80uRpQLMeX0eRnESN8gjyv)-1)</f>
        <v>Formula!$H$13:$H$14</v>
      </c>
      <c r="F21" s="131"/>
      <c r="G21" s="132">
        <v>44481.52024305556</v>
      </c>
      <c r="H21" s="132">
        <v>44481.52127314815</v>
      </c>
      <c r="I21" s="130" t="s">
        <v>340</v>
      </c>
      <c r="J21" s="131"/>
      <c r="K21" s="130" t="b">
        <v>0</v>
      </c>
      <c r="L21" s="133">
        <v>1.0</v>
      </c>
      <c r="M21" s="130" t="s">
        <v>341</v>
      </c>
      <c r="N21" s="131"/>
      <c r="O21" s="130" t="s">
        <v>342</v>
      </c>
      <c r="P21" s="131"/>
      <c r="Q21" s="130" t="s">
        <v>343</v>
      </c>
      <c r="R21" s="131"/>
      <c r="S21" s="131"/>
      <c r="T21" s="131"/>
      <c r="U21" s="131"/>
      <c r="V21" s="131"/>
      <c r="W21" s="130" t="s">
        <v>345</v>
      </c>
      <c r="X21" s="130" t="s">
        <v>346</v>
      </c>
      <c r="Y21" s="130" t="s">
        <v>347</v>
      </c>
      <c r="Z21" s="130" t="s">
        <v>347</v>
      </c>
      <c r="AA21" s="130" t="s">
        <v>348</v>
      </c>
      <c r="AB21" s="130" t="s">
        <v>347</v>
      </c>
      <c r="AC21" s="131"/>
      <c r="AD21" s="133">
        <v>1000.0</v>
      </c>
      <c r="AE21" s="133">
        <v>10.0</v>
      </c>
      <c r="AF21" s="130" t="s">
        <v>347</v>
      </c>
      <c r="AG21" s="130" t="s">
        <v>349</v>
      </c>
      <c r="AH21" s="131"/>
      <c r="AI21" s="131"/>
      <c r="AJ21" s="131"/>
      <c r="AK21" s="131"/>
      <c r="AL21" s="131"/>
      <c r="AM21" s="131"/>
      <c r="AN21" s="131"/>
      <c r="AO21" s="131"/>
      <c r="AP21" s="137" t="s">
        <v>351</v>
      </c>
      <c r="AQ21" s="131"/>
      <c r="AR21" s="131"/>
      <c r="AS21" s="131"/>
      <c r="AT21" s="131"/>
      <c r="AU21" s="130" t="s">
        <v>353</v>
      </c>
      <c r="AV21" s="131"/>
      <c r="AW21" s="131"/>
      <c r="AX21" s="131"/>
    </row>
    <row r="22">
      <c r="A22" s="130" t="s">
        <v>354</v>
      </c>
      <c r="B22" s="131"/>
      <c r="C22" s="131"/>
      <c r="D22" s="130" t="str">
        <f>IFERROR(__xludf.DUMMYFUNCTION("ARRAY_CONSTRAIN(split(CELL(""ADDRESS"",zsupermetrics_DQl8lUbpTRu3fayaJJi7lVfOGKjNU4),""!""),1,1)"),"Formula")</f>
        <v>Formula</v>
      </c>
      <c r="E22" s="130" t="str">
        <f>CELL("ADDRESS",zsupermetrics_DQl8lUbpTRu3fayaJJi7lVfOGKjNU4)&amp;":"&amp;address(row(zsupermetrics_DQl8lUbpTRu3fayaJJi7lVfOGKjNU4)+rows(zsupermetrics_DQl8lUbpTRu3fayaJJi7lVfOGKjNU4)-1,column(zsupermetrics_DQl8lUbpTRu3fayaJJi7lVfOGKjNU4)+COLUMNS(zsupermetrics_DQl8lUbpTRu3fayaJJi7lVfOGKjNU4)-1)</f>
        <v>Formula!$F$3:$F$4</v>
      </c>
      <c r="F22" s="131"/>
      <c r="G22" s="132">
        <v>44481.56743055556</v>
      </c>
      <c r="H22" s="131"/>
      <c r="I22" s="130" t="s">
        <v>340</v>
      </c>
      <c r="J22" s="131"/>
      <c r="K22" s="130" t="b">
        <v>0</v>
      </c>
      <c r="L22" s="133">
        <v>4.0</v>
      </c>
      <c r="M22" s="130" t="s">
        <v>341</v>
      </c>
      <c r="N22" s="131"/>
      <c r="O22" s="130" t="s">
        <v>342</v>
      </c>
      <c r="P22" s="131"/>
      <c r="Q22" s="130" t="s">
        <v>357</v>
      </c>
      <c r="R22" s="131"/>
      <c r="S22" s="131"/>
      <c r="T22" s="131"/>
      <c r="U22" s="131"/>
      <c r="V22" s="131"/>
      <c r="W22" s="130" t="s">
        <v>345</v>
      </c>
      <c r="X22" s="130" t="s">
        <v>346</v>
      </c>
      <c r="Y22" s="130" t="s">
        <v>347</v>
      </c>
      <c r="Z22" s="130" t="s">
        <v>347</v>
      </c>
      <c r="AA22" s="130" t="s">
        <v>347</v>
      </c>
      <c r="AB22" s="130" t="s">
        <v>347</v>
      </c>
      <c r="AC22" s="131"/>
      <c r="AD22" s="131"/>
      <c r="AE22" s="131"/>
      <c r="AF22" s="130" t="s">
        <v>347</v>
      </c>
      <c r="AG22" s="130" t="s">
        <v>349</v>
      </c>
      <c r="AH22" s="131"/>
      <c r="AI22" s="131"/>
      <c r="AJ22" s="131"/>
      <c r="AK22" s="131"/>
      <c r="AL22" s="131"/>
      <c r="AM22" s="131"/>
      <c r="AN22" s="131"/>
      <c r="AO22" s="131"/>
      <c r="AP22" s="137" t="s">
        <v>358</v>
      </c>
      <c r="AQ22" s="131"/>
      <c r="AR22" s="131"/>
      <c r="AS22" s="131"/>
      <c r="AT22" s="131"/>
      <c r="AU22" s="130" t="s">
        <v>353</v>
      </c>
      <c r="AV22" s="131"/>
      <c r="AW22" s="131"/>
      <c r="AX22" s="131"/>
    </row>
    <row r="23">
      <c r="A23" s="130" t="s">
        <v>359</v>
      </c>
      <c r="B23" s="131"/>
      <c r="C23" s="131"/>
      <c r="D23" s="130" t="str">
        <f>IFERROR(__xludf.DUMMYFUNCTION("ARRAY_CONSTRAIN(split(CELL(""ADDRESS"",zsupermetrics_n3GtLgiKpTmd2pYmQNMuq6TPD0qE0b),""!""),1,1)"),"Formula")</f>
        <v>Formula</v>
      </c>
      <c r="E23" s="130" t="str">
        <f>CELL("ADDRESS",zsupermetrics_n3GtLgiKpTmd2pYmQNMuq6TPD0qE0b)&amp;":"&amp;address(row(zsupermetrics_n3GtLgiKpTmd2pYmQNMuq6TPD0qE0b)+rows(zsupermetrics_n3GtLgiKpTmd2pYmQNMuq6TPD0qE0b)-1,column(zsupermetrics_n3GtLgiKpTmd2pYmQNMuq6TPD0qE0b)+COLUMNS(zsupermetrics_n3GtLgiKpTmd2pYmQNMuq6TPD0qE0b)-1)</f>
        <v>Formula!$G$4:$G$5</v>
      </c>
      <c r="F23" s="131"/>
      <c r="G23" s="132">
        <v>44481.599282407406</v>
      </c>
      <c r="H23" s="131"/>
      <c r="I23" s="130" t="s">
        <v>340</v>
      </c>
      <c r="J23" s="131"/>
      <c r="K23" s="130" t="b">
        <v>0</v>
      </c>
      <c r="L23" s="133">
        <v>5.0</v>
      </c>
      <c r="M23" s="130" t="s">
        <v>341</v>
      </c>
      <c r="N23" s="131"/>
      <c r="O23" s="130" t="s">
        <v>342</v>
      </c>
      <c r="P23" s="131"/>
      <c r="Q23" s="130" t="s">
        <v>357</v>
      </c>
      <c r="R23" s="131"/>
      <c r="S23" s="131"/>
      <c r="T23" s="131"/>
      <c r="U23" s="131"/>
      <c r="V23" s="131"/>
      <c r="W23" s="130" t="s">
        <v>345</v>
      </c>
      <c r="X23" s="130" t="s">
        <v>346</v>
      </c>
      <c r="Y23" s="130" t="s">
        <v>347</v>
      </c>
      <c r="Z23" s="130" t="s">
        <v>347</v>
      </c>
      <c r="AA23" s="130" t="s">
        <v>347</v>
      </c>
      <c r="AB23" s="130" t="s">
        <v>347</v>
      </c>
      <c r="AC23" s="131"/>
      <c r="AD23" s="131"/>
      <c r="AE23" s="131"/>
      <c r="AF23" s="130" t="s">
        <v>347</v>
      </c>
      <c r="AG23" s="130" t="s">
        <v>349</v>
      </c>
      <c r="AH23" s="131"/>
      <c r="AI23" s="131"/>
      <c r="AJ23" s="131"/>
      <c r="AK23" s="131"/>
      <c r="AL23" s="131"/>
      <c r="AM23" s="131"/>
      <c r="AN23" s="131"/>
      <c r="AO23" s="131"/>
      <c r="AP23" s="137" t="s">
        <v>360</v>
      </c>
      <c r="AQ23" s="131"/>
      <c r="AR23" s="131"/>
      <c r="AS23" s="131"/>
      <c r="AT23" s="131"/>
      <c r="AU23" s="130" t="s">
        <v>353</v>
      </c>
      <c r="AV23" s="131"/>
      <c r="AW23" s="131"/>
      <c r="AX23" s="131"/>
    </row>
    <row r="24">
      <c r="A24" s="130" t="s">
        <v>361</v>
      </c>
      <c r="B24" s="131"/>
      <c r="C24" s="131"/>
      <c r="D24" s="130" t="str">
        <f>IFERROR(__xludf.DUMMYFUNCTION("ARRAY_CONSTRAIN(split(CELL(""ADDRESS"",zsupermetrics_qWp7V908pNEYMtfv8QZvSTeDnBAHOU),""!""),1,1)"),"Formula")</f>
        <v>Formula</v>
      </c>
      <c r="E24" s="130" t="str">
        <f>CELL("ADDRESS",zsupermetrics_qWp7V908pNEYMtfv8QZvSTeDnBAHOU)&amp;":"&amp;address(row(zsupermetrics_qWp7V908pNEYMtfv8QZvSTeDnBAHOU)+rows(zsupermetrics_qWp7V908pNEYMtfv8QZvSTeDnBAHOU)-1,column(zsupermetrics_qWp7V908pNEYMtfv8QZvSTeDnBAHOU)+COLUMNS(zsupermetrics_qWp7V908pNEYMtfv8QZvSTeDnBAHOU)-1)</f>
        <v>Formula!$G$5:$H$6</v>
      </c>
      <c r="F24" s="131"/>
      <c r="G24" s="132">
        <v>44481.60076388889</v>
      </c>
      <c r="H24" s="132">
        <v>44481.55980324074</v>
      </c>
      <c r="I24" s="142" t="s">
        <v>362</v>
      </c>
      <c r="J24" s="133">
        <v>1.634037959028E12</v>
      </c>
      <c r="K24" s="130" t="b">
        <v>0</v>
      </c>
      <c r="L24" s="133"/>
      <c r="M24" s="130" t="s">
        <v>341</v>
      </c>
      <c r="N24" s="131"/>
      <c r="O24" s="130" t="s">
        <v>342</v>
      </c>
      <c r="P24" s="131"/>
      <c r="Q24" s="130" t="s">
        <v>357</v>
      </c>
      <c r="R24" s="131"/>
      <c r="S24" s="131"/>
      <c r="T24" s="131"/>
      <c r="U24" s="131"/>
      <c r="V24" s="131"/>
      <c r="W24" s="130" t="s">
        <v>345</v>
      </c>
      <c r="X24" s="130" t="s">
        <v>346</v>
      </c>
      <c r="Y24" s="130" t="s">
        <v>347</v>
      </c>
      <c r="Z24" s="130" t="s">
        <v>347</v>
      </c>
      <c r="AA24" s="130" t="s">
        <v>347</v>
      </c>
      <c r="AB24" s="130" t="s">
        <v>347</v>
      </c>
      <c r="AC24" s="131"/>
      <c r="AD24" s="131"/>
      <c r="AE24" s="131"/>
      <c r="AF24" s="130" t="s">
        <v>363</v>
      </c>
      <c r="AG24" s="130" t="s">
        <v>349</v>
      </c>
      <c r="AH24" s="131"/>
      <c r="AI24" s="131"/>
      <c r="AJ24" s="131"/>
      <c r="AK24" s="131"/>
      <c r="AL24" s="131"/>
      <c r="AM24" s="131"/>
      <c r="AN24" s="131"/>
      <c r="AO24" s="131"/>
      <c r="AP24" s="137" t="s">
        <v>364</v>
      </c>
      <c r="AQ24" s="131"/>
      <c r="AR24" s="131"/>
      <c r="AS24" s="131"/>
      <c r="AT24" s="131"/>
      <c r="AU24" s="130" t="s">
        <v>353</v>
      </c>
      <c r="AV24" s="131"/>
      <c r="AW24" s="131"/>
      <c r="AX24" s="131"/>
    </row>
    <row r="25">
      <c r="A25" s="130" t="s">
        <v>365</v>
      </c>
      <c r="B25" s="131"/>
      <c r="C25" s="131"/>
      <c r="D25" s="130" t="str">
        <f>IFERROR(__xludf.DUMMYFUNCTION("ARRAY_CONSTRAIN(split(CELL(""ADDRESS"",zsupermetrics_lx4cNai7gT6tH4j08ZRkI21Qlpjioi),""!""),1,1)"),"Formula")</f>
        <v>Formula</v>
      </c>
      <c r="E25" s="130" t="str">
        <f>CELL("ADDRESS",zsupermetrics_lx4cNai7gT6tH4j08ZRkI21Qlpjioi)&amp;":"&amp;address(row(zsupermetrics_lx4cNai7gT6tH4j08ZRkI21Qlpjioi)+rows(zsupermetrics_lx4cNai7gT6tH4j08ZRkI21Qlpjioi)-1,column(zsupermetrics_lx4cNai7gT6tH4j08ZRkI21Qlpjioi)+COLUMNS(zsupermetrics_lx4cNai7gT6tH4j08ZRkI21Qlpjioi)-1)</f>
        <v>Formula!$G$4:$H$5</v>
      </c>
      <c r="F25" s="131"/>
      <c r="G25" s="132">
        <v>44481.61704861111</v>
      </c>
      <c r="H25" s="131"/>
      <c r="I25" s="130" t="s">
        <v>340</v>
      </c>
      <c r="J25" s="131"/>
      <c r="K25" s="130" t="b">
        <v>0</v>
      </c>
      <c r="L25" s="133">
        <v>0.0</v>
      </c>
      <c r="M25" s="130" t="s">
        <v>341</v>
      </c>
      <c r="N25" s="131"/>
      <c r="O25" s="130" t="s">
        <v>342</v>
      </c>
      <c r="P25" s="131"/>
      <c r="Q25" s="130" t="s">
        <v>357</v>
      </c>
      <c r="R25" s="131"/>
      <c r="S25" s="131"/>
      <c r="T25" s="131"/>
      <c r="U25" s="131"/>
      <c r="V25" s="131"/>
      <c r="W25" s="130" t="s">
        <v>345</v>
      </c>
      <c r="X25" s="130" t="s">
        <v>346</v>
      </c>
      <c r="Y25" s="130" t="s">
        <v>347</v>
      </c>
      <c r="Z25" s="130" t="s">
        <v>347</v>
      </c>
      <c r="AA25" s="130" t="s">
        <v>347</v>
      </c>
      <c r="AB25" s="130" t="s">
        <v>347</v>
      </c>
      <c r="AC25" s="131"/>
      <c r="AD25" s="131"/>
      <c r="AE25" s="131"/>
      <c r="AF25" s="130" t="s">
        <v>363</v>
      </c>
      <c r="AG25" s="130" t="s">
        <v>349</v>
      </c>
      <c r="AH25" s="131"/>
      <c r="AI25" s="131"/>
      <c r="AJ25" s="131"/>
      <c r="AK25" s="131"/>
      <c r="AL25" s="131"/>
      <c r="AM25" s="131"/>
      <c r="AN25" s="131"/>
      <c r="AO25" s="131"/>
      <c r="AP25" s="137" t="s">
        <v>368</v>
      </c>
      <c r="AQ25" s="131"/>
      <c r="AR25" s="131"/>
      <c r="AS25" s="131"/>
      <c r="AT25" s="131"/>
      <c r="AU25" s="130" t="s">
        <v>353</v>
      </c>
      <c r="AV25" s="131"/>
      <c r="AW25" s="131"/>
      <c r="AX25" s="131"/>
    </row>
    <row r="26">
      <c r="A26" s="130" t="s">
        <v>369</v>
      </c>
      <c r="B26" s="131"/>
      <c r="C26" s="131"/>
      <c r="D26" s="130" t="str">
        <f>IFERROR(__xludf.DUMMYFUNCTION("ARRAY_CONSTRAIN(split(CELL(""ADDRESS"",zsupermetrics_4VkB7ij7WO0JjKBEgvjB2GHjSy2Egm),""!""),1,1)"),"Formula")</f>
        <v>Formula</v>
      </c>
      <c r="E26" s="130" t="str">
        <f>CELL("ADDRESS",zsupermetrics_4VkB7ij7WO0JjKBEgvjB2GHjSy2Egm)&amp;":"&amp;address(row(zsupermetrics_4VkB7ij7WO0JjKBEgvjB2GHjSy2Egm)+rows(zsupermetrics_4VkB7ij7WO0JjKBEgvjB2GHjSy2Egm)-1,column(zsupermetrics_4VkB7ij7WO0JjKBEgvjB2GHjSy2Egm)+COLUMNS(zsupermetrics_4VkB7ij7WO0JjKBEgvjB2GHjSy2Egm)-1)</f>
        <v>Formula!$G$4:$H$5</v>
      </c>
      <c r="F26" s="131"/>
      <c r="G26" s="132">
        <v>44481.617314814815</v>
      </c>
      <c r="H26" s="131"/>
      <c r="I26" s="130" t="s">
        <v>340</v>
      </c>
      <c r="J26" s="131"/>
      <c r="K26" s="130" t="b">
        <v>0</v>
      </c>
      <c r="L26" s="133">
        <v>9.0</v>
      </c>
      <c r="M26" s="130" t="s">
        <v>341</v>
      </c>
      <c r="N26" s="131"/>
      <c r="O26" s="130" t="s">
        <v>342</v>
      </c>
      <c r="P26" s="131"/>
      <c r="Q26" s="130" t="s">
        <v>343</v>
      </c>
      <c r="R26" s="131"/>
      <c r="S26" s="131"/>
      <c r="T26" s="131"/>
      <c r="U26" s="131"/>
      <c r="V26" s="131"/>
      <c r="W26" s="130" t="s">
        <v>345</v>
      </c>
      <c r="X26" s="130" t="s">
        <v>346</v>
      </c>
      <c r="Y26" s="130" t="s">
        <v>347</v>
      </c>
      <c r="Z26" s="130" t="s">
        <v>347</v>
      </c>
      <c r="AA26" s="130" t="s">
        <v>347</v>
      </c>
      <c r="AB26" s="130" t="s">
        <v>347</v>
      </c>
      <c r="AC26" s="131"/>
      <c r="AD26" s="131"/>
      <c r="AE26" s="131"/>
      <c r="AF26" s="130" t="s">
        <v>363</v>
      </c>
      <c r="AG26" s="130" t="s">
        <v>349</v>
      </c>
      <c r="AH26" s="131"/>
      <c r="AI26" s="131"/>
      <c r="AJ26" s="131"/>
      <c r="AK26" s="131"/>
      <c r="AL26" s="131"/>
      <c r="AM26" s="131"/>
      <c r="AN26" s="131"/>
      <c r="AO26" s="131"/>
      <c r="AP26" s="137" t="s">
        <v>368</v>
      </c>
      <c r="AQ26" s="131"/>
      <c r="AR26" s="131"/>
      <c r="AS26" s="131"/>
      <c r="AT26" s="131"/>
      <c r="AU26" s="130" t="s">
        <v>353</v>
      </c>
      <c r="AV26" s="131"/>
      <c r="AW26" s="131"/>
      <c r="AX26" s="131"/>
    </row>
    <row r="27">
      <c r="A27" s="130" t="s">
        <v>370</v>
      </c>
      <c r="B27" s="131"/>
      <c r="C27" s="131"/>
      <c r="D27" s="130" t="str">
        <f>IFERROR(__xludf.DUMMYFUNCTION("ARRAY_CONSTRAIN(split(CELL(""ADDRESS"",zsupermetrics_HgZqhorObHOtZHuyJjpmyYaEPoYntx),""!""),1,1)"),"Formula")</f>
        <v>Formula</v>
      </c>
      <c r="E27" s="130" t="str">
        <f>CELL("ADDRESS",zsupermetrics_HgZqhorObHOtZHuyJjpmyYaEPoYntx)&amp;":"&amp;address(row(zsupermetrics_HgZqhorObHOtZHuyJjpmyYaEPoYntx)+rows(zsupermetrics_HgZqhorObHOtZHuyJjpmyYaEPoYntx)-1,column(zsupermetrics_HgZqhorObHOtZHuyJjpmyYaEPoYntx)+COLUMNS(zsupermetrics_HgZqhorObHOtZHuyJjpmyYaEPoYntx)-1)</f>
        <v>Formula!$G$4:$G$5</v>
      </c>
      <c r="F27" s="131"/>
      <c r="G27" s="132">
        <v>44481.61914351852</v>
      </c>
      <c r="H27" s="131"/>
      <c r="I27" s="130" t="s">
        <v>340</v>
      </c>
      <c r="J27" s="131"/>
      <c r="K27" s="130" t="b">
        <v>0</v>
      </c>
      <c r="L27" s="133">
        <v>5.0</v>
      </c>
      <c r="M27" s="130" t="s">
        <v>341</v>
      </c>
      <c r="N27" s="131"/>
      <c r="O27" s="130" t="s">
        <v>342</v>
      </c>
      <c r="P27" s="131"/>
      <c r="Q27" s="130" t="s">
        <v>357</v>
      </c>
      <c r="R27" s="131"/>
      <c r="S27" s="131"/>
      <c r="T27" s="131"/>
      <c r="U27" s="131"/>
      <c r="V27" s="131"/>
      <c r="W27" s="130" t="s">
        <v>345</v>
      </c>
      <c r="X27" s="130" t="s">
        <v>346</v>
      </c>
      <c r="Y27" s="130" t="s">
        <v>347</v>
      </c>
      <c r="Z27" s="130" t="s">
        <v>347</v>
      </c>
      <c r="AA27" s="130" t="s">
        <v>347</v>
      </c>
      <c r="AB27" s="130" t="s">
        <v>347</v>
      </c>
      <c r="AC27" s="131"/>
      <c r="AD27" s="131"/>
      <c r="AE27" s="131"/>
      <c r="AF27" s="130" t="s">
        <v>347</v>
      </c>
      <c r="AG27" s="130" t="s">
        <v>349</v>
      </c>
      <c r="AH27" s="131"/>
      <c r="AI27" s="131"/>
      <c r="AJ27" s="131"/>
      <c r="AK27" s="131"/>
      <c r="AL27" s="131"/>
      <c r="AM27" s="131"/>
      <c r="AN27" s="131"/>
      <c r="AO27" s="131"/>
      <c r="AP27" s="137" t="s">
        <v>360</v>
      </c>
      <c r="AQ27" s="131"/>
      <c r="AR27" s="131"/>
      <c r="AS27" s="131"/>
      <c r="AT27" s="131"/>
      <c r="AU27" s="130" t="s">
        <v>353</v>
      </c>
      <c r="AV27" s="131"/>
      <c r="AW27" s="131"/>
      <c r="AX27" s="131"/>
    </row>
    <row r="28">
      <c r="A28" s="130" t="s">
        <v>371</v>
      </c>
      <c r="B28" s="131"/>
      <c r="C28" s="131"/>
      <c r="D28" s="130" t="str">
        <f>IFERROR(__xludf.DUMMYFUNCTION("ARRAY_CONSTRAIN(split(CELL(""ADDRESS"",zsupermetrics_ru0GDtbZzDLHQOQtJJ6K08MvUDyyp7),""!""),1,1)"),"Formula")</f>
        <v>Formula</v>
      </c>
      <c r="E28" s="130" t="str">
        <f>CELL("ADDRESS",zsupermetrics_ru0GDtbZzDLHQOQtJJ6K08MvUDyyp7)&amp;":"&amp;address(row(zsupermetrics_ru0GDtbZzDLHQOQtJJ6K08MvUDyyp7)+rows(zsupermetrics_ru0GDtbZzDLHQOQtJJ6K08MvUDyyp7)-1,column(zsupermetrics_ru0GDtbZzDLHQOQtJJ6K08MvUDyyp7)+COLUMNS(zsupermetrics_ru0GDtbZzDLHQOQtJJ6K08MvUDyyp7)-1)</f>
        <v>Formula!$G$4:$G$5</v>
      </c>
      <c r="F28" s="131"/>
      <c r="G28" s="132">
        <v>44481.62012731482</v>
      </c>
      <c r="H28" s="131"/>
      <c r="I28" s="130" t="s">
        <v>340</v>
      </c>
      <c r="J28" s="131"/>
      <c r="K28" s="130" t="b">
        <v>0</v>
      </c>
      <c r="L28" s="133">
        <v>0.0</v>
      </c>
      <c r="M28" s="130" t="s">
        <v>341</v>
      </c>
      <c r="N28" s="131"/>
      <c r="O28" s="130" t="s">
        <v>342</v>
      </c>
      <c r="P28" s="131"/>
      <c r="Q28" s="130" t="s">
        <v>357</v>
      </c>
      <c r="R28" s="131"/>
      <c r="S28" s="131"/>
      <c r="T28" s="131"/>
      <c r="U28" s="131"/>
      <c r="V28" s="131"/>
      <c r="W28" s="130" t="s">
        <v>345</v>
      </c>
      <c r="X28" s="130" t="s">
        <v>346</v>
      </c>
      <c r="Y28" s="130" t="s">
        <v>347</v>
      </c>
      <c r="Z28" s="130" t="s">
        <v>347</v>
      </c>
      <c r="AA28" s="130" t="s">
        <v>347</v>
      </c>
      <c r="AB28" s="130" t="s">
        <v>347</v>
      </c>
      <c r="AC28" s="131"/>
      <c r="AD28" s="131"/>
      <c r="AE28" s="131"/>
      <c r="AF28" s="130" t="s">
        <v>347</v>
      </c>
      <c r="AG28" s="130" t="s">
        <v>349</v>
      </c>
      <c r="AH28" s="131"/>
      <c r="AI28" s="131"/>
      <c r="AJ28" s="131"/>
      <c r="AK28" s="131"/>
      <c r="AL28" s="131"/>
      <c r="AM28" s="131"/>
      <c r="AN28" s="131"/>
      <c r="AO28" s="131"/>
      <c r="AP28" s="137" t="s">
        <v>360</v>
      </c>
      <c r="AQ28" s="131"/>
      <c r="AR28" s="131"/>
      <c r="AS28" s="131"/>
      <c r="AT28" s="131"/>
      <c r="AU28" s="130" t="s">
        <v>353</v>
      </c>
      <c r="AV28" s="131"/>
      <c r="AW28" s="131"/>
      <c r="AX28" s="131"/>
    </row>
    <row r="29">
      <c r="A29" s="130" t="s">
        <v>373</v>
      </c>
      <c r="B29" s="131"/>
      <c r="C29" s="131"/>
      <c r="D29" s="130" t="str">
        <f>IFERROR(__xludf.DUMMYFUNCTION("ARRAY_CONSTRAIN(split(CELL(""ADDRESS"",zsupermetrics_YsFuuYtr8vOdNXCCPiFJIO38NP4b2T),""!""),1,1)"),"Formula")</f>
        <v>Formula</v>
      </c>
      <c r="E29" s="130" t="str">
        <f>CELL("ADDRESS",zsupermetrics_YsFuuYtr8vOdNXCCPiFJIO38NP4b2T)&amp;":"&amp;address(row(zsupermetrics_YsFuuYtr8vOdNXCCPiFJIO38NP4b2T)+rows(zsupermetrics_YsFuuYtr8vOdNXCCPiFJIO38NP4b2T)-1,column(zsupermetrics_YsFuuYtr8vOdNXCCPiFJIO38NP4b2T)+COLUMNS(zsupermetrics_YsFuuYtr8vOdNXCCPiFJIO38NP4b2T)-1)</f>
        <v>Formula!$G$4:$H$5</v>
      </c>
      <c r="F29" s="131"/>
      <c r="G29" s="132">
        <v>44481.62038194444</v>
      </c>
      <c r="H29" s="131"/>
      <c r="I29" s="130" t="s">
        <v>340</v>
      </c>
      <c r="J29" s="131"/>
      <c r="K29" s="130" t="b">
        <v>0</v>
      </c>
      <c r="L29" s="133">
        <v>0.0</v>
      </c>
      <c r="M29" s="130" t="s">
        <v>341</v>
      </c>
      <c r="N29" s="131"/>
      <c r="O29" s="130" t="s">
        <v>342</v>
      </c>
      <c r="P29" s="131"/>
      <c r="Q29" s="130" t="s">
        <v>357</v>
      </c>
      <c r="R29" s="131"/>
      <c r="S29" s="131"/>
      <c r="T29" s="131"/>
      <c r="U29" s="131"/>
      <c r="V29" s="131"/>
      <c r="W29" s="130" t="s">
        <v>345</v>
      </c>
      <c r="X29" s="130" t="s">
        <v>346</v>
      </c>
      <c r="Y29" s="130" t="s">
        <v>347</v>
      </c>
      <c r="Z29" s="130" t="s">
        <v>347</v>
      </c>
      <c r="AA29" s="130" t="s">
        <v>347</v>
      </c>
      <c r="AB29" s="130" t="s">
        <v>347</v>
      </c>
      <c r="AC29" s="131"/>
      <c r="AD29" s="131"/>
      <c r="AE29" s="131"/>
      <c r="AF29" s="130" t="s">
        <v>363</v>
      </c>
      <c r="AG29" s="130" t="s">
        <v>349</v>
      </c>
      <c r="AH29" s="131"/>
      <c r="AI29" s="131"/>
      <c r="AJ29" s="131"/>
      <c r="AK29" s="131"/>
      <c r="AL29" s="131"/>
      <c r="AM29" s="131"/>
      <c r="AN29" s="131"/>
      <c r="AO29" s="131"/>
      <c r="AP29" s="137" t="s">
        <v>368</v>
      </c>
      <c r="AQ29" s="131"/>
      <c r="AR29" s="131"/>
      <c r="AS29" s="131"/>
      <c r="AT29" s="131"/>
      <c r="AU29" s="130" t="s">
        <v>353</v>
      </c>
      <c r="AV29" s="131"/>
      <c r="AW29" s="131"/>
      <c r="AX29" s="131"/>
    </row>
    <row r="30">
      <c r="A30" s="130" t="s">
        <v>374</v>
      </c>
      <c r="B30" s="131"/>
      <c r="C30" s="131"/>
      <c r="D30" s="130" t="str">
        <f>IFERROR(__xludf.DUMMYFUNCTION("ARRAY_CONSTRAIN(split(CELL(""ADDRESS"",zsupermetrics_OI1SHh9RTAzpmZ8JDWgszLojYv8Hv4),""!""),1,1)"),"Formula")</f>
        <v>Formula</v>
      </c>
      <c r="E30" s="130" t="str">
        <f>CELL("ADDRESS",zsupermetrics_OI1SHh9RTAzpmZ8JDWgszLojYv8Hv4)&amp;":"&amp;address(row(zsupermetrics_OI1SHh9RTAzpmZ8JDWgszLojYv8Hv4)+rows(zsupermetrics_OI1SHh9RTAzpmZ8JDWgszLojYv8Hv4)-1,column(zsupermetrics_OI1SHh9RTAzpmZ8JDWgszLojYv8Hv4)+COLUMNS(zsupermetrics_OI1SHh9RTAzpmZ8JDWgszLojYv8Hv4)-1)</f>
        <v>Formula!$F$4:$G$5</v>
      </c>
      <c r="F30" s="131"/>
      <c r="G30" s="132">
        <v>44482.39501157407</v>
      </c>
      <c r="H30" s="131"/>
      <c r="I30" s="130" t="s">
        <v>340</v>
      </c>
      <c r="J30" s="131"/>
      <c r="K30" s="130" t="b">
        <v>0</v>
      </c>
      <c r="L30" s="133">
        <v>4.0</v>
      </c>
      <c r="M30" s="130" t="s">
        <v>341</v>
      </c>
      <c r="N30" s="131"/>
      <c r="O30" s="130" t="s">
        <v>342</v>
      </c>
      <c r="P30" s="131"/>
      <c r="Q30" s="130" t="s">
        <v>357</v>
      </c>
      <c r="R30" s="131"/>
      <c r="S30" s="131"/>
      <c r="T30" s="131"/>
      <c r="U30" s="131"/>
      <c r="V30" s="131"/>
      <c r="W30" s="130" t="s">
        <v>345</v>
      </c>
      <c r="X30" s="130" t="s">
        <v>346</v>
      </c>
      <c r="Y30" s="130" t="s">
        <v>347</v>
      </c>
      <c r="Z30" s="130" t="s">
        <v>347</v>
      </c>
      <c r="AA30" s="130" t="s">
        <v>347</v>
      </c>
      <c r="AB30" s="130" t="s">
        <v>347</v>
      </c>
      <c r="AC30" s="131"/>
      <c r="AD30" s="131"/>
      <c r="AE30" s="131"/>
      <c r="AF30" s="130" t="s">
        <v>363</v>
      </c>
      <c r="AG30" s="130" t="s">
        <v>349</v>
      </c>
      <c r="AH30" s="131"/>
      <c r="AI30" s="131"/>
      <c r="AJ30" s="131"/>
      <c r="AK30" s="131"/>
      <c r="AL30" s="131"/>
      <c r="AM30" s="131"/>
      <c r="AN30" s="131"/>
      <c r="AO30" s="131"/>
      <c r="AP30" s="137" t="s">
        <v>376</v>
      </c>
      <c r="AQ30" s="131"/>
      <c r="AR30" s="131"/>
      <c r="AS30" s="131"/>
      <c r="AT30" s="131"/>
      <c r="AU30" s="130" t="s">
        <v>353</v>
      </c>
      <c r="AV30" s="131"/>
      <c r="AW30" s="131"/>
      <c r="AX30" s="131"/>
    </row>
  </sheetData>
  <mergeCells count="5">
    <mergeCell ref="A6:G7"/>
    <mergeCell ref="A8:G9"/>
    <mergeCell ref="A10:G11"/>
    <mergeCell ref="A13:H15"/>
    <mergeCell ref="A16:H17"/>
  </mergeCells>
  <drawing r:id="rId2"/>
  <legacyDrawing r:id="rId3"/>
</worksheet>
</file>